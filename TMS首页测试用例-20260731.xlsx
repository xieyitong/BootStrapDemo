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500" tabRatio="575" firstSheet="0" activeTab="0" autoFilterDateGrouping="1"/>
  </bookViews>
  <sheets>
    <sheet name="测试用例" sheetId="1" state="visible" r:id="rId1"/>
    <sheet name="解释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微软雅黑"/>
      <charset val="134"/>
      <b val="1"/>
      <sz val="9"/>
    </font>
    <font>
      <name val="等线"/>
      <charset val="0"/>
      <color rgb="FF0000FF"/>
      <sz val="11"/>
      <u val="single"/>
      <scheme val="minor"/>
    </font>
    <font>
      <name val="微软雅黑"/>
      <charset val="134"/>
      <b val="1"/>
      <color theme="1"/>
      <sz val="9"/>
    </font>
    <font>
      <name val="微软雅黑"/>
      <charset val="134"/>
      <color rgb="FF000000"/>
      <sz val="9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indexed="17"/>
      <sz val="11"/>
    </font>
    <font>
      <name val="微软雅黑"/>
      <color rgb="00000000"/>
      <sz val="9"/>
    </font>
  </fonts>
  <fills count="3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8" fillId="0" borderId="0" applyAlignment="1">
      <alignment vertical="center"/>
    </xf>
    <xf numFmtId="0" fontId="0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2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0" fillId="0" borderId="0"/>
    <xf numFmtId="0" fontId="26" fillId="35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49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6">
      <alignment horizontal="center" vertical="center" wrapText="1"/>
    </xf>
    <xf numFmtId="0" fontId="6" fillId="3" borderId="1" applyAlignment="1" pivotButton="0" quotePrefix="0" xfId="49">
      <alignment horizontal="center" vertical="center" wrapText="1"/>
    </xf>
    <xf numFmtId="0" fontId="6" fillId="3" borderId="1" applyAlignment="1" pivotButton="0" quotePrefix="0" xfId="49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27" fillId="0" borderId="15" applyAlignment="1" pivotButton="0" quotePrefix="0" xfId="0">
      <alignment horizontal="center" vertical="center" wrapText="1"/>
    </xf>
    <xf numFmtId="0" fontId="27" fillId="0" borderId="15" applyAlignment="1" pivotButton="0" quotePrefix="0" xfId="0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好 2 4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scm-t-qa.mxbc.net/upm-web/security/public/workbench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tabSelected="1" workbookViewId="0">
      <selection activeCell="J11" sqref="J11:J54"/>
    </sheetView>
  </sheetViews>
  <sheetFormatPr baseColWidth="8" defaultColWidth="9" defaultRowHeight="13.8" outlineLevelCol="0"/>
  <cols>
    <col width="9" customWidth="1" style="8" min="1" max="1"/>
    <col width="8.444444444444439" customWidth="1" style="8" min="2" max="2"/>
    <col width="17.5555555555556" customWidth="1" style="8" min="3" max="3"/>
    <col width="17.7777777777778" customWidth="1" style="9" min="4" max="4"/>
    <col width="53.787037037037" customWidth="1" style="9" min="5" max="5"/>
    <col width="9" customWidth="1" style="9" min="6" max="6"/>
    <col width="30.0740740740741" customWidth="1" style="9" min="7" max="7"/>
    <col width="25.3518518518519" customWidth="1" style="9" min="8" max="8"/>
    <col width="6.71296296296296" customWidth="1" style="9" min="9" max="9"/>
    <col width="9" customWidth="1" style="9" min="10" max="11"/>
    <col width="21.8888888888889" customWidth="1" style="9" min="12" max="12"/>
    <col width="9" customWidth="1" style="9" min="13" max="13"/>
    <col width="9.33333333333333" customWidth="1" style="9" min="14" max="14"/>
    <col width="9" customWidth="1" style="9" min="15" max="16384"/>
  </cols>
  <sheetData>
    <row r="1" ht="15.6" customFormat="1" customHeight="1" s="6">
      <c r="A1" s="10" t="inlineStr">
        <is>
          <t>项目：</t>
        </is>
      </c>
      <c r="B1" s="29" t="n"/>
      <c r="C1" s="29" t="n"/>
      <c r="D1" s="30" t="n"/>
      <c r="E1" s="11" t="n"/>
      <c r="F1" s="11" t="n"/>
      <c r="G1" s="11" t="n"/>
      <c r="H1" s="12" t="n"/>
      <c r="I1" s="13" t="inlineStr">
        <is>
          <t>测试执行结果</t>
        </is>
      </c>
      <c r="J1" s="29" t="n"/>
      <c r="K1" s="29" t="n"/>
      <c r="L1" s="29" t="n"/>
      <c r="M1" s="29" t="n"/>
      <c r="N1" s="30" t="n"/>
    </row>
    <row r="2" ht="32.6" customFormat="1" customHeight="1" s="6">
      <c r="A2" s="14" t="inlineStr">
        <is>
          <t>项目：</t>
        </is>
      </c>
      <c r="B2" s="21" t="inlineStr">
        <is>
          <t>供应链项目-TMS</t>
        </is>
      </c>
      <c r="C2" s="29" t="n"/>
      <c r="D2" s="30" t="n"/>
      <c r="E2" s="11" t="n"/>
      <c r="F2" s="11" t="n"/>
      <c r="G2" s="11" t="n"/>
      <c r="H2" s="16" t="n"/>
      <c r="I2" s="16" t="n"/>
      <c r="J2" s="29" t="n"/>
      <c r="K2" s="29" t="n"/>
      <c r="L2" s="29" t="n"/>
      <c r="M2" s="29" t="n"/>
      <c r="N2" s="30" t="n"/>
    </row>
    <row r="3" ht="26.4" customFormat="1" customHeight="1" s="6">
      <c r="A3" s="14" t="inlineStr">
        <is>
          <t>对应需求文档：</t>
        </is>
      </c>
      <c r="B3" s="21" t="inlineStr">
        <is>
          <t>TMS首页需求20260520.xlsx</t>
        </is>
      </c>
      <c r="C3" s="29" t="n"/>
      <c r="D3" s="30" t="n"/>
      <c r="E3" s="11" t="n"/>
      <c r="F3" s="11" t="n"/>
      <c r="G3" s="11" t="n"/>
      <c r="H3" s="16" t="n"/>
      <c r="I3" s="17" t="inlineStr">
        <is>
          <t>用例总数：</t>
        </is>
      </c>
      <c r="J3" s="30" t="n"/>
      <c r="K3" s="19">
        <f>COUNTA($J$11:$J$66)</f>
        <v/>
      </c>
      <c r="L3" s="17" t="inlineStr">
        <is>
          <t>执行率：</t>
        </is>
      </c>
      <c r="M3" s="30" t="n"/>
      <c r="N3" s="20">
        <f>(K4+K5)/IF(K3=0,1,K3)</f>
        <v/>
      </c>
    </row>
    <row r="4" ht="15.6" customFormat="1" customHeight="1" s="6">
      <c r="A4" s="14" t="inlineStr">
        <is>
          <t>版本号：</t>
        </is>
      </c>
      <c r="B4" s="21" t="inlineStr">
        <is>
          <t>V1.0</t>
        </is>
      </c>
      <c r="C4" s="29" t="n"/>
      <c r="D4" s="30" t="n"/>
      <c r="E4" s="11" t="n"/>
      <c r="F4" s="11" t="n"/>
      <c r="G4" s="11" t="n"/>
      <c r="H4" s="16" t="n"/>
      <c r="I4" s="17" t="inlineStr">
        <is>
          <t>通过</t>
        </is>
      </c>
      <c r="J4" s="30" t="n"/>
      <c r="K4" s="19">
        <f>COUNTIF(J11:J$66,"通过")</f>
        <v/>
      </c>
      <c r="L4" s="17" t="inlineStr">
        <is>
          <t>执行率：</t>
        </is>
      </c>
      <c r="M4" s="30" t="n"/>
      <c r="N4" s="20">
        <f>IF(K3=0,0,K4/K3)</f>
        <v/>
      </c>
    </row>
    <row r="5" ht="26.4" customFormat="1" customHeight="1" s="6">
      <c r="A5" s="14" t="inlineStr">
        <is>
          <t>创建/执行者：</t>
        </is>
      </c>
      <c r="B5" s="21" t="inlineStr"/>
      <c r="C5" s="29" t="n"/>
      <c r="D5" s="30" t="n"/>
      <c r="E5" s="11" t="n"/>
      <c r="F5" s="11" t="n"/>
      <c r="G5" s="11" t="n"/>
      <c r="H5" s="16" t="n"/>
      <c r="I5" s="17" t="inlineStr">
        <is>
          <t>失败</t>
        </is>
      </c>
      <c r="J5" s="30" t="n"/>
      <c r="K5" s="19">
        <f>COUNTIF(J11:J$66,"失败")</f>
        <v/>
      </c>
      <c r="L5" s="17" t="inlineStr">
        <is>
          <t>执行率：</t>
        </is>
      </c>
      <c r="M5" s="30" t="n"/>
      <c r="N5" s="20">
        <f>IF(K3=0,0,K5/K3)</f>
        <v/>
      </c>
    </row>
    <row r="6" ht="26.4" customFormat="1" customHeight="1" s="6">
      <c r="A6" s="21" t="inlineStr">
        <is>
          <t>创建日期：</t>
        </is>
      </c>
      <c r="B6" s="22" t="inlineStr">
        <is>
          <t>2026-07-31</t>
        </is>
      </c>
      <c r="C6" s="29" t="n"/>
      <c r="D6" s="30" t="n"/>
      <c r="E6" s="11" t="n"/>
      <c r="F6" s="11" t="n"/>
      <c r="G6" s="11" t="n"/>
      <c r="H6" s="16" t="n"/>
      <c r="I6" s="17" t="inlineStr">
        <is>
          <t>阻塞</t>
        </is>
      </c>
      <c r="J6" s="30" t="n"/>
      <c r="K6" s="19">
        <f>COUNTIF(J11:J$66,"阻塞")</f>
        <v/>
      </c>
      <c r="L6" s="17" t="inlineStr">
        <is>
          <t>执行率：</t>
        </is>
      </c>
      <c r="M6" s="30" t="n"/>
      <c r="N6" s="20">
        <f>IF(K3=0,0,K6/K3)</f>
        <v/>
      </c>
    </row>
    <row r="7" ht="15.6" customFormat="1" customHeight="1" s="6">
      <c r="A7" s="21" t="inlineStr">
        <is>
          <t>更新者：</t>
        </is>
      </c>
      <c r="B7" s="21" t="inlineStr"/>
      <c r="C7" s="29" t="n"/>
      <c r="D7" s="30" t="n"/>
      <c r="E7" s="11" t="n"/>
      <c r="F7" s="11" t="n"/>
      <c r="G7" s="11" t="n"/>
      <c r="H7" s="16" t="n"/>
      <c r="I7" s="17" t="inlineStr">
        <is>
          <t>无效</t>
        </is>
      </c>
      <c r="J7" s="30" t="n"/>
      <c r="K7" s="19">
        <f>COUNTIF(J11:J$66,"无效")</f>
        <v/>
      </c>
      <c r="L7" s="17" t="inlineStr">
        <is>
          <t>执行率：</t>
        </is>
      </c>
      <c r="M7" s="30" t="n"/>
      <c r="N7" s="20">
        <f>IF(K3=0,0,K7/K3)</f>
        <v/>
      </c>
    </row>
    <row r="8" ht="38.15" customFormat="1" customHeight="1" s="6">
      <c r="A8" s="21" t="inlineStr">
        <is>
          <t>环境信息</t>
        </is>
      </c>
      <c r="B8" s="23" t="inlineStr">
        <is>
          <t>https://scm-t-qa.mxbc.net/upm-web/security/public/workbench.html</t>
        </is>
      </c>
      <c r="C8" s="29" t="n"/>
      <c r="D8" s="30" t="n"/>
      <c r="E8" s="11" t="n"/>
      <c r="F8" s="11" t="n"/>
      <c r="G8" s="11" t="n"/>
      <c r="H8" s="16" t="n"/>
      <c r="I8" s="17" t="inlineStr">
        <is>
          <t>未执行</t>
        </is>
      </c>
      <c r="J8" s="30" t="n"/>
      <c r="K8" s="19">
        <f>COUNTIF(J11:J$66,"未执行")</f>
        <v/>
      </c>
      <c r="L8" s="17" t="inlineStr">
        <is>
          <t>执行率：</t>
        </is>
      </c>
      <c r="M8" s="30" t="n"/>
      <c r="N8" s="20">
        <f>IF(K3=0,0,K8/K3)</f>
        <v/>
      </c>
    </row>
    <row r="9" ht="26.4" customFormat="1" customHeight="1" s="6">
      <c r="A9" s="21" t="inlineStr">
        <is>
          <t>更新日期：</t>
        </is>
      </c>
      <c r="B9" s="22" t="inlineStr">
        <is>
          <t>2026-07-31</t>
        </is>
      </c>
      <c r="C9" s="29" t="n"/>
      <c r="D9" s="30" t="n"/>
      <c r="E9" s="11" t="n"/>
      <c r="F9" s="11" t="n"/>
      <c r="G9" s="11" t="n"/>
      <c r="H9" s="16" t="n"/>
      <c r="I9" s="11" t="n"/>
      <c r="J9" s="11" t="n"/>
      <c r="K9" s="11" t="n"/>
      <c r="L9" s="11" t="n"/>
      <c r="M9" s="11" t="n"/>
      <c r="N9" s="11" t="n"/>
    </row>
    <row r="10" ht="15.6" customFormat="1" customHeight="1" s="7">
      <c r="A10" s="24" t="inlineStr">
        <is>
          <t>用例编号</t>
        </is>
      </c>
      <c r="B10" s="24" t="inlineStr">
        <is>
          <t>所属模块</t>
        </is>
      </c>
      <c r="C10" s="24" t="inlineStr">
        <is>
          <t>子模块</t>
        </is>
      </c>
      <c r="D10" s="24" t="inlineStr">
        <is>
          <t>用例标题</t>
        </is>
      </c>
      <c r="E10" s="24" t="inlineStr">
        <is>
          <t>描述</t>
        </is>
      </c>
      <c r="F10" s="25" t="inlineStr">
        <is>
          <t>前置条件</t>
        </is>
      </c>
      <c r="G10" s="25" t="inlineStr">
        <is>
          <t>操作步骤</t>
        </is>
      </c>
      <c r="H10" s="25" t="inlineStr">
        <is>
          <t>预期结果</t>
        </is>
      </c>
      <c r="I10" s="25" t="inlineStr">
        <is>
          <t>优先级</t>
        </is>
      </c>
      <c r="J10" s="25" t="inlineStr">
        <is>
          <t>测试结果</t>
        </is>
      </c>
      <c r="K10" s="25" t="inlineStr">
        <is>
          <t>缺陷ID</t>
        </is>
      </c>
      <c r="L10" s="25" t="inlineStr">
        <is>
          <t>备注</t>
        </is>
      </c>
      <c r="M10" s="25" t="n"/>
      <c r="N10" s="25" t="n"/>
    </row>
    <row r="11" ht="70" customHeight="1" s="1">
      <c r="A11" s="31" t="n">
        <v>1</v>
      </c>
      <c r="B11" s="31" t="inlineStr">
        <is>
          <t>TMS货主端首页</t>
        </is>
      </c>
      <c r="C11" s="31" t="inlineStr">
        <is>
          <t>菜单与页面</t>
        </is>
      </c>
      <c r="D11" s="32" t="inlineStr">
        <is>
          <t>货主端首页模块入口展示验证</t>
        </is>
      </c>
      <c r="E11" s="32" t="inlineStr">
        <is>
          <t>验证系统新增TMS货主端首页模块，有权限用户可正常进入页面</t>
        </is>
      </c>
      <c r="F11" s="32" t="inlineStr">
        <is>
          <t>1. 已登录供应链系统QA环境
2. 用户拥有TMS货主端首页访问权限</t>
        </is>
      </c>
      <c r="G11" s="32" t="inlineStr">
        <is>
          <t>1. 登录系统，进入主页面
2. 在菜单中查找TMS货主端首页入口
3. 点击进入货主端首页</t>
        </is>
      </c>
      <c r="H11" s="32" t="inlineStr">
        <is>
          <t>1. 菜单中展示TMS货主端首页入口
2. 点击后正常进入货主端首页页面
3. 页面加载无报错、无白屏</t>
        </is>
      </c>
      <c r="I11" s="31" t="inlineStr">
        <is>
          <t>高</t>
        </is>
      </c>
      <c r="J11" s="31" t="n"/>
      <c r="K11" s="31" t="n"/>
      <c r="L11" s="32" t="n"/>
    </row>
    <row r="12" ht="70" customHeight="1" s="1">
      <c r="A12" s="31" t="n">
        <v>2</v>
      </c>
      <c r="B12" s="31" t="inlineStr">
        <is>
          <t>TMS货主端首页</t>
        </is>
      </c>
      <c r="C12" s="31" t="inlineStr">
        <is>
          <t>查询条件</t>
        </is>
      </c>
      <c r="D12" s="32" t="inlineStr">
        <is>
          <t>货主端首页查询条件展示与默认值验证</t>
        </is>
      </c>
      <c r="E12" s="32" t="inlineStr">
        <is>
          <t>验证货主端首页查询条件包含仓库、承运商、日期，日期默认当天</t>
        </is>
      </c>
      <c r="F12" s="32" t="inlineStr">
        <is>
          <t>1. 已登录系统并进入TMS货主端首页</t>
        </is>
      </c>
      <c r="G12" s="32" t="inlineStr">
        <is>
          <t>1. 进入货主端首页
2. 查看页面查询条件区域
3. 查看日期控件默认值</t>
        </is>
      </c>
      <c r="H12" s="32" t="inlineStr">
        <is>
          <t>1. 查询条件展示仓库、承运商、日期三个筛选条件
2. 日期默认值为当天
3. 各筛选条件可正常选择/输入</t>
        </is>
      </c>
      <c r="I12" s="31" t="inlineStr">
        <is>
          <t>高</t>
        </is>
      </c>
      <c r="J12" s="31" t="n"/>
      <c r="K12" s="31" t="n"/>
      <c r="L12" s="32" t="n"/>
    </row>
    <row r="13" ht="70" customHeight="1" s="1">
      <c r="A13" s="31" t="n">
        <v>3</v>
      </c>
      <c r="B13" s="31" t="inlineStr">
        <is>
          <t>TMS货主端首页</t>
        </is>
      </c>
      <c r="C13" s="31" t="inlineStr">
        <is>
          <t>查询条件</t>
        </is>
      </c>
      <c r="D13" s="32" t="inlineStr">
        <is>
          <t>货主端首页按仓库查询验证</t>
        </is>
      </c>
      <c r="E13" s="32" t="inlineStr">
        <is>
          <t>验证货主端首页支持按仓库筛选，页面各模块数据随仓库条件变化</t>
        </is>
      </c>
      <c r="F13" s="32" t="inlineStr">
        <is>
          <t>1. 已进入TMS货主端首页
2. 系统中存在多个仓库及对应业务数据</t>
        </is>
      </c>
      <c r="G13" s="32" t="inlineStr">
        <is>
          <t>1. 在查询条件中选择指定仓库
2. 点击查询或触发筛选
3. 查看数据总览、承运商维度汇总、温控概览、执行概览、待办事项数据变化</t>
        </is>
      </c>
      <c r="H13" s="32" t="inlineStr">
        <is>
          <t>1. 页面各模块仅展示所选仓库对应数据
2. 承运商维度汇总中承运商列表与该仓库关联承运商一致
3. 切换仓库后数据正确刷新</t>
        </is>
      </c>
      <c r="I13" s="31" t="inlineStr">
        <is>
          <t>高</t>
        </is>
      </c>
      <c r="J13" s="31" t="n"/>
      <c r="K13" s="31" t="n"/>
      <c r="L13" s="32" t="n"/>
    </row>
    <row r="14" ht="70" customHeight="1" s="1">
      <c r="A14" s="31" t="n">
        <v>4</v>
      </c>
      <c r="B14" s="31" t="inlineStr">
        <is>
          <t>TMS货主端首页</t>
        </is>
      </c>
      <c r="C14" s="31" t="inlineStr">
        <is>
          <t>查询条件</t>
        </is>
      </c>
      <c r="D14" s="32" t="inlineStr">
        <is>
          <t>货主端首页按承运商查询验证</t>
        </is>
      </c>
      <c r="E14" s="32" t="inlineStr">
        <is>
          <t>验证货主端首页支持按承运商筛选</t>
        </is>
      </c>
      <c r="F14" s="32" t="inlineStr">
        <is>
          <t>1. 已进入TMS货主端首页
2. 系统中存在多个承运商及对应业务数据</t>
        </is>
      </c>
      <c r="G14" s="32" t="inlineStr">
        <is>
          <t>1. 在查询条件中选择指定承运商
2. 触发查询
3. 查看各模块展示数据</t>
        </is>
      </c>
      <c r="H14" s="32" t="inlineStr">
        <is>
          <t>1. 页面各模块仅展示所选承运商对应数据
2. 数据统计结果准确
3. 清空承运商条件后可恢复展示全部相关数据</t>
        </is>
      </c>
      <c r="I14" s="31" t="inlineStr">
        <is>
          <t>高</t>
        </is>
      </c>
      <c r="J14" s="31" t="n"/>
      <c r="K14" s="31" t="n"/>
      <c r="L14" s="32" t="n"/>
    </row>
    <row r="15" ht="70" customHeight="1" s="1">
      <c r="A15" s="31" t="n">
        <v>5</v>
      </c>
      <c r="B15" s="31" t="inlineStr">
        <is>
          <t>TMS货主端首页</t>
        </is>
      </c>
      <c r="C15" s="31" t="inlineStr">
        <is>
          <t>查询条件</t>
        </is>
      </c>
      <c r="D15" s="32" t="inlineStr">
        <is>
          <t>货主端首页按日期查询验证</t>
        </is>
      </c>
      <c r="E15" s="32" t="inlineStr">
        <is>
          <t>验证货主端首页支持按日期筛选，且日期变更后相关统计按所选日期取值</t>
        </is>
      </c>
      <c r="F15" s="32" t="inlineStr">
        <is>
          <t>1. 已进入TMS货主端首页
2. 系统中存在不同日期的发车、任务等数据</t>
        </is>
      </c>
      <c r="G15" s="32" t="inlineStr">
        <is>
          <t>1. 将日期修改为非当天的历史日期
2. 触发查询
3. 核对出车车次、订单统计等与日期相关的指标</t>
        </is>
      </c>
      <c r="H15" s="32" t="inlineStr">
        <is>
          <t>1. 出车车次按发车时间落在所选日期的条件统计
2. 其他按查询条件取值的指标均按所选日期计算
3. 改回当天后数据恢复为当天统计结果</t>
        </is>
      </c>
      <c r="I15" s="31" t="inlineStr">
        <is>
          <t>高</t>
        </is>
      </c>
      <c r="J15" s="31" t="n"/>
      <c r="K15" s="31" t="n"/>
      <c r="L15" s="32" t="n"/>
    </row>
    <row r="16" ht="90" customHeight="1" s="1">
      <c r="A16" s="31" t="n">
        <v>6</v>
      </c>
      <c r="B16" s="31" t="inlineStr">
        <is>
          <t>TMS货主端首页</t>
        </is>
      </c>
      <c r="C16" s="31" t="inlineStr">
        <is>
          <t>自动刷新</t>
        </is>
      </c>
      <c r="D16" s="32" t="inlineStr">
        <is>
          <t>货主端首页每5分钟自动刷新验证</t>
        </is>
      </c>
      <c r="E16" s="32" t="inlineStr">
        <is>
          <t>验证货主端首页每5分钟根据当前查询条件自动刷新页面数据</t>
        </is>
      </c>
      <c r="F16" s="32" t="inlineStr">
        <is>
          <t>1. 已进入TMS货主端首页
2. 已设置查询条件
3. 可准备后台数据变更用于对比</t>
        </is>
      </c>
      <c r="G16" s="32" t="inlineStr">
        <is>
          <t>1. 记录当前页面各模块数据
2. 在后台变更符合当前查询条件的相关数据
3. 停留在页面等待不少于5分钟
4. 观察页面是否自动刷新及数据变化</t>
        </is>
      </c>
      <c r="H16" s="32" t="inlineStr">
        <is>
          <t>1. 页面每5分钟自动刷新一次
2. 刷新后仍保持当前查询条件
3. 刷新后各模块数据按查询条件重新加载，展示最新结果</t>
        </is>
      </c>
      <c r="I16" s="31" t="inlineStr">
        <is>
          <t>高</t>
        </is>
      </c>
      <c r="J16" s="31" t="n"/>
      <c r="K16" s="31" t="n"/>
      <c r="L16" s="32" t="n"/>
    </row>
    <row r="17" ht="130" customHeight="1" s="1">
      <c r="A17" s="31" t="n">
        <v>7</v>
      </c>
      <c r="B17" s="31" t="inlineStr">
        <is>
          <t>TMS货主端首页</t>
        </is>
      </c>
      <c r="C17" s="31" t="inlineStr">
        <is>
          <t>数据总览-字段展示</t>
        </is>
      </c>
      <c r="D17" s="32" t="inlineStr">
        <is>
          <t>数据总览字段展示验证</t>
        </is>
      </c>
      <c r="E17" s="32" t="inlineStr">
        <is>
          <t>验证数据总览模块展示车辆数、车型分类、出车车次、司机数、温度回传率、温度合格率、回单合格率等字段</t>
        </is>
      </c>
      <c r="F17" s="32" t="inlineStr">
        <is>
          <t>1. 已进入TMS货主端首页
2. 查询条件已设置</t>
        </is>
      </c>
      <c r="G17" s="32" t="inlineStr">
        <is>
          <t>1. 查看数据总览模块
2. 核对展示字段名称及布局</t>
        </is>
      </c>
      <c r="H17" s="32" t="inlineStr">
        <is>
          <t>1. 展示字段包括：车辆数、常温车、冷冻车、双温车、三温车
2. 展示出车车次
3. 展示总司机数、临时、非临时
4. 展示温度回传率
5. 展示冷藏温度合格率、冷冻温度合格率
6. 展示回单合格率</t>
        </is>
      </c>
      <c r="I17" s="31" t="inlineStr">
        <is>
          <t>高</t>
        </is>
      </c>
      <c r="J17" s="31" t="n"/>
      <c r="K17" s="31" t="n"/>
      <c r="L17" s="32" t="n"/>
    </row>
    <row r="18" ht="90" customHeight="1" s="1">
      <c r="A18" s="31" t="n">
        <v>8</v>
      </c>
      <c r="B18" s="31" t="inlineStr">
        <is>
          <t>TMS货主端首页</t>
        </is>
      </c>
      <c r="C18" s="31" t="inlineStr">
        <is>
          <t>数据总览-车辆统计</t>
        </is>
      </c>
      <c r="D18" s="32" t="inlineStr">
        <is>
          <t>车辆数及车型分类统计验证</t>
        </is>
      </c>
      <c r="E18" s="32" t="inlineStr">
        <is>
          <t>验证数据总览中车辆数及常温车、冷冻车、双温车、三温车统计正确</t>
        </is>
      </c>
      <c r="F18" s="32" t="inlineStr">
        <is>
          <t>1. 已进入TMS货主端首页
2. 查询条件下存在启用状态的不同类型车辆</t>
        </is>
      </c>
      <c r="G18" s="32" t="inlineStr">
        <is>
          <t>1. 设置仓库、承运商、日期查询条件
2. 查看车辆数、常温车、冷冻车、双温车、三温车数值
3. 与后台车辆主数据核对</t>
        </is>
      </c>
      <c r="H18" s="32" t="inlineStr">
        <is>
          <t>1. 车辆数为对应查询条件下启用车辆总数
2. 常温车、冷冻车、双温车、三温车分别按车型正确统计
3. 各车型数量之和等于或符合业务定义的车辆数关系
4. 数据与后台一致</t>
        </is>
      </c>
      <c r="I18" s="31" t="inlineStr">
        <is>
          <t>高</t>
        </is>
      </c>
      <c r="J18" s="31" t="n"/>
      <c r="K18" s="31" t="n"/>
      <c r="L18" s="32" t="n"/>
    </row>
    <row r="19" ht="70" customHeight="1" s="1">
      <c r="A19" s="31" t="n">
        <v>9</v>
      </c>
      <c r="B19" s="31" t="inlineStr">
        <is>
          <t>TMS货主端首页</t>
        </is>
      </c>
      <c r="C19" s="31" t="inlineStr">
        <is>
          <t>数据总览-出车车次</t>
        </is>
      </c>
      <c r="D19" s="32" t="inlineStr">
        <is>
          <t>出车车次取值验证</t>
        </is>
      </c>
      <c r="E19" s="32" t="inlineStr">
        <is>
          <t>验证出车车次按发车时间在对应查询条件下的车数统计</t>
        </is>
      </c>
      <c r="F19" s="32" t="inlineStr">
        <is>
          <t>1. 已进入TMS货主端首页
2. 存在发车时间在查询日期内/外的任务数据</t>
        </is>
      </c>
      <c r="G19" s="32" t="inlineStr">
        <is>
          <t>1. 设置查询条件（含日期）
2. 查看出车车次数值
3. 与发车时间符合条件的车辆/车次后台数据核对</t>
        </is>
      </c>
      <c r="H19" s="32" t="inlineStr">
        <is>
          <t>1. 出车车次=发车时间在对应查询条件下的车数
2. 发车时间不在查询日期内的数据不计入
3. 统计结果与后台一致</t>
        </is>
      </c>
      <c r="I19" s="31" t="inlineStr">
        <is>
          <t>高</t>
        </is>
      </c>
      <c r="J19" s="31" t="n"/>
      <c r="K19" s="31" t="n"/>
      <c r="L19" s="32" t="n"/>
    </row>
    <row r="20" ht="110" customHeight="1" s="1">
      <c r="A20" s="31" t="n">
        <v>10</v>
      </c>
      <c r="B20" s="31" t="inlineStr">
        <is>
          <t>TMS货主端首页</t>
        </is>
      </c>
      <c r="C20" s="31" t="inlineStr">
        <is>
          <t>数据总览-司机统计</t>
        </is>
      </c>
      <c r="D20" s="32" t="inlineStr">
        <is>
          <t>总司机数临时非临时取值验证</t>
        </is>
      </c>
      <c r="E20" s="32" t="inlineStr">
        <is>
          <t>验证总司机数、临时、非临时按启用状态及工作性质正确统计</t>
        </is>
      </c>
      <c r="F20" s="32" t="inlineStr">
        <is>
          <t>1. 已进入TMS货主端首页
2. 查询条件下存在启用/停用、临时/非临时司机数据</t>
        </is>
      </c>
      <c r="G20" s="32" t="inlineStr">
        <is>
          <t>1. 设置查询条件
2. 查看总司机数、临时、非临时数值
3. 与司机主数据核对</t>
        </is>
      </c>
      <c r="H20" s="32" t="inlineStr">
        <is>
          <t>1. 总司机数=对应查询条件下启用状态司机总数
2. 临时=启用状态且工作性质为临时司机的总数
3. 非临时=启用状态且工作性质为非临时司机的总数
4. 停用司机不计入
5. 临时+非临时=总司机数</t>
        </is>
      </c>
      <c r="I20" s="31" t="inlineStr">
        <is>
          <t>高</t>
        </is>
      </c>
      <c r="J20" s="31" t="n"/>
      <c r="K20" s="31" t="n"/>
      <c r="L20" s="32" t="n"/>
    </row>
    <row r="21" ht="70" customHeight="1" s="1">
      <c r="A21" s="31" t="n">
        <v>11</v>
      </c>
      <c r="B21" s="31" t="inlineStr">
        <is>
          <t>TMS货主端首页</t>
        </is>
      </c>
      <c r="C21" s="31" t="inlineStr">
        <is>
          <t>数据总览-温度回传率</t>
        </is>
      </c>
      <c r="D21" s="32" t="inlineStr">
        <is>
          <t>温度回传率取值验证</t>
        </is>
      </c>
      <c r="E21" s="32" t="inlineStr">
        <is>
          <t>验证温度回传率=回传车辆数/在执行中任务存在冷藏或冷冻任务的车数</t>
        </is>
      </c>
      <c r="F21" s="32" t="inlineStr">
        <is>
          <t>1. 已进入TMS货主端首页
2. 存在冷藏/冷冻在执行任务及温度回传/未回传车辆</t>
        </is>
      </c>
      <c r="G21" s="32" t="inlineStr">
        <is>
          <t>1. 设置查询条件
2. 查看温度回传率
3. 分别统计回传车辆数与冷链执行中车辆数并计算</t>
        </is>
      </c>
      <c r="H21" s="32" t="inlineStr">
        <is>
          <t>1. 温度回传率=当前查询条件下回传车辆数/在执行中任务存在冷藏或冷冻任务的车数
2. 分母为0时按产品约定展示（如0%或--）
3. 计算结果与页面展示一致（允许约定精度）</t>
        </is>
      </c>
      <c r="I21" s="31" t="inlineStr">
        <is>
          <t>高</t>
        </is>
      </c>
      <c r="J21" s="31" t="n"/>
      <c r="K21" s="31" t="n"/>
      <c r="L21" s="32" t="n"/>
    </row>
    <row r="22" ht="70" customHeight="1" s="1">
      <c r="A22" s="31" t="n">
        <v>12</v>
      </c>
      <c r="B22" s="31" t="inlineStr">
        <is>
          <t>TMS货主端首页</t>
        </is>
      </c>
      <c r="C22" s="31" t="inlineStr">
        <is>
          <t>数据总览-温度合格率</t>
        </is>
      </c>
      <c r="D22" s="32" t="inlineStr">
        <is>
          <t>冷藏冷冻温度合格率取值验证</t>
        </is>
      </c>
      <c r="E22" s="32" t="inlineStr">
        <is>
          <t>验证冷藏温度合格率、冷冻温度合格率按任务平均温度合格数/任务总数统计</t>
        </is>
      </c>
      <c r="F22" s="32" t="inlineStr">
        <is>
          <t>1. 已进入TMS货主端首页
2. 查询条件下存在冷藏、冷冻任务及合格/不合格数据</t>
        </is>
      </c>
      <c r="G22" s="32" t="inlineStr">
        <is>
          <t>1. 设置查询条件
2. 查看冷藏温度合格率、冷冻温度合格率
3. 与后台任务温度合格数据核对计算</t>
        </is>
      </c>
      <c r="H22" s="32" t="inlineStr">
        <is>
          <t>1. 冷藏温度合格率=当前查询条件下承运商冷藏任务平均温度合格数/冷藏任务总数
2. 冷冻温度合格率=当前查询条件下承运商冷冻任务平均温度合格数/冷冻任务总数
3. 页面展示结果与计算结果一致</t>
        </is>
      </c>
      <c r="I22" s="31" t="inlineStr">
        <is>
          <t>高</t>
        </is>
      </c>
      <c r="J22" s="31" t="n"/>
      <c r="K22" s="31" t="n"/>
      <c r="L22" s="32" t="n"/>
    </row>
    <row r="23" ht="70" customHeight="1" s="1">
      <c r="A23" s="31" t="n">
        <v>13</v>
      </c>
      <c r="B23" s="31" t="inlineStr">
        <is>
          <t>TMS货主端首页</t>
        </is>
      </c>
      <c r="C23" s="31" t="inlineStr">
        <is>
          <t>数据总览-回单合格率</t>
        </is>
      </c>
      <c r="D23" s="32" t="inlineStr">
        <is>
          <t>回单合格率取值验证</t>
        </is>
      </c>
      <c r="E23" s="32" t="inlineStr">
        <is>
          <t>验证回单合格率按回单是否合格为是/已签状态任务总数统计</t>
        </is>
      </c>
      <c r="F23" s="32" t="inlineStr">
        <is>
          <t>1. 已进入TMS货主端首页
2. 查询条件下存在已签收且回单合格/不合格任务</t>
        </is>
      </c>
      <c r="G23" s="32" t="inlineStr">
        <is>
          <t>1. 设置查询条件
2. 查看回单合格率
3. 与后台已签任务及回单合格标识核对</t>
        </is>
      </c>
      <c r="H23" s="32" t="inlineStr">
        <is>
          <t>1. 回单合格率=当前查询条件下回单是否合格为是的数量/已签状态任务总数
2. 非已签任务不计入分母
3. 页面展示与计算结果一致</t>
        </is>
      </c>
      <c r="I23" s="31" t="inlineStr">
        <is>
          <t>高</t>
        </is>
      </c>
      <c r="J23" s="31" t="n"/>
      <c r="K23" s="31" t="n"/>
      <c r="L23" s="32" t="n"/>
    </row>
    <row r="24" ht="70" customHeight="1" s="1">
      <c r="A24" s="31" t="n">
        <v>14</v>
      </c>
      <c r="B24" s="31" t="inlineStr">
        <is>
          <t>TMS货主端首页</t>
        </is>
      </c>
      <c r="C24" s="31" t="inlineStr">
        <is>
          <t>承运商维度汇总-字段展示</t>
        </is>
      </c>
      <c r="D24" s="32" t="inlineStr">
        <is>
          <t>承运商维度汇总字段展示验证</t>
        </is>
      </c>
      <c r="E24" s="32" t="inlineStr">
        <is>
          <t>验证承运商维度汇总展示承运商名称、车辆数、出车车次、承运订单、温度异常订单、时效预警订单、温度预警订单</t>
        </is>
      </c>
      <c r="F24" s="32" t="inlineStr">
        <is>
          <t>1. 已进入TMS货主端首页
2. 查询条件下存在承运商关联数据</t>
        </is>
      </c>
      <c r="G24" s="32" t="inlineStr">
        <is>
          <t>1. 查看承运商维度汇总模块
2. 核对列表/表格字段</t>
        </is>
      </c>
      <c r="H24" s="32" t="inlineStr">
        <is>
          <t>1. 字段依次或完整展示：承运商名称、车辆数、出车车次、承运订单、温度异常订单、时效预警订单、温度预警订单
2. 有数据时按承运商分行展示</t>
        </is>
      </c>
      <c r="I24" s="31" t="inlineStr">
        <is>
          <t>高</t>
        </is>
      </c>
      <c r="J24" s="31" t="n"/>
      <c r="K24" s="31" t="n"/>
      <c r="L24" s="32" t="n"/>
    </row>
    <row r="25" ht="70" customHeight="1" s="1">
      <c r="A25" s="31" t="n">
        <v>15</v>
      </c>
      <c r="B25" s="31" t="inlineStr">
        <is>
          <t>TMS货主端首页</t>
        </is>
      </c>
      <c r="C25" s="31" t="inlineStr">
        <is>
          <t>承运商维度汇总-取值</t>
        </is>
      </c>
      <c r="D25" s="32" t="inlineStr">
        <is>
          <t>承运商名称按仓库关联展示验证</t>
        </is>
      </c>
      <c r="E25" s="32" t="inlineStr">
        <is>
          <t>验证承运商名称根据查询条件中仓库与承运商关系展示</t>
        </is>
      </c>
      <c r="F25" s="32" t="inlineStr">
        <is>
          <t>1. 已进入TMS货主端首页
2. 仓库与承运商已配置关联关系</t>
        </is>
      </c>
      <c r="G25" s="32" t="inlineStr">
        <is>
          <t>1. 选择指定仓库查询
2. 查看承运商维度汇总中的承运商列表
3. 与仓库-承运商关系配置核对</t>
        </is>
      </c>
      <c r="H25" s="32" t="inlineStr">
        <is>
          <t>1. 仅展示与所选仓库存在关联关系的承运商名称
2. 未关联承运商不展示
3. 切换仓库后承运商列表同步变化</t>
        </is>
      </c>
      <c r="I25" s="31" t="inlineStr">
        <is>
          <t>高</t>
        </is>
      </c>
      <c r="J25" s="31" t="n"/>
      <c r="K25" s="31" t="n"/>
      <c r="L25" s="32" t="n"/>
    </row>
    <row r="26" ht="90" customHeight="1" s="1">
      <c r="A26" s="31" t="n">
        <v>16</v>
      </c>
      <c r="B26" s="31" t="inlineStr">
        <is>
          <t>TMS货主端首页</t>
        </is>
      </c>
      <c r="C26" s="31" t="inlineStr">
        <is>
          <t>承运商维度汇总-取值</t>
        </is>
      </c>
      <c r="D26" s="32" t="inlineStr">
        <is>
          <t>承运商车辆数出车车次承运订单取值验证</t>
        </is>
      </c>
      <c r="E26" s="32" t="inlineStr">
        <is>
          <t>验证承运商维度下车辆数、出车车次、承运订单取值正确</t>
        </is>
      </c>
      <c r="F26" s="32" t="inlineStr">
        <is>
          <t>1. 已进入TMS货主端首页
2. 存在承运商启用车辆、发车及运输任务数据</t>
        </is>
      </c>
      <c r="G26" s="32" t="inlineStr">
        <is>
          <t>1. 设置查询条件
2. 查看某承运商的车辆数、出车车次、承运订单
3. 与后台数据核对</t>
        </is>
      </c>
      <c r="H26" s="32" t="inlineStr">
        <is>
          <t>1. 车辆数=对应承运商下车辆状态为启用的车辆数
2. 出车车次=发车时间在对应查询条件下的车数
3. 承运订单=对应承运商的运输任务总数
4. 各指标与后台一致</t>
        </is>
      </c>
      <c r="I26" s="31" t="inlineStr">
        <is>
          <t>高</t>
        </is>
      </c>
      <c r="J26" s="31" t="n"/>
      <c r="K26" s="31" t="n"/>
      <c r="L26" s="32" t="n"/>
    </row>
    <row r="27" ht="70" customHeight="1" s="1">
      <c r="A27" s="31" t="n">
        <v>17</v>
      </c>
      <c r="B27" s="31" t="inlineStr">
        <is>
          <t>TMS货主端首页</t>
        </is>
      </c>
      <c r="C27" s="31" t="inlineStr">
        <is>
          <t>承运商维度汇总-取值</t>
        </is>
      </c>
      <c r="D27" s="32" t="inlineStr">
        <is>
          <t>温度异常订单取值验证</t>
        </is>
      </c>
      <c r="E27" s="32" t="inlineStr">
        <is>
          <t>验证温度异常订单统计对应承运商平均温度是否异常为是的订单</t>
        </is>
      </c>
      <c r="F27" s="32" t="inlineStr">
        <is>
          <t>1. 已进入TMS货主端首页
2. 存在平均温度异常为是/否的订单</t>
        </is>
      </c>
      <c r="G27" s="32" t="inlineStr">
        <is>
          <t>1. 设置查询条件
2. 查看承运商温度异常订单数量
3. 与后台平均温度异常标识核对</t>
        </is>
      </c>
      <c r="H27" s="32" t="inlineStr">
        <is>
          <t>1. 温度异常订单=对应承运商平均温度是否异常为是的订单数
2. 异常为否的订单不计入
3. 统计结果准确</t>
        </is>
      </c>
      <c r="I27" s="31" t="inlineStr">
        <is>
          <t>高</t>
        </is>
      </c>
      <c r="J27" s="31" t="n"/>
      <c r="K27" s="31" t="n"/>
      <c r="L27" s="32" t="n"/>
    </row>
    <row r="28" ht="70" customHeight="1" s="1">
      <c r="A28" s="31" t="n">
        <v>18</v>
      </c>
      <c r="B28" s="31" t="inlineStr">
        <is>
          <t>TMS货主端首页</t>
        </is>
      </c>
      <c r="C28" s="31" t="inlineStr">
        <is>
          <t>承运商维度汇总-取值</t>
        </is>
      </c>
      <c r="D28" s="32" t="inlineStr">
        <is>
          <t>时效预警订单与温度预警订单展示验证</t>
        </is>
      </c>
      <c r="E28" s="32" t="inlineStr">
        <is>
          <t>验证承运商维度汇总中时效预警订单、温度预警订单字段可展示（取值规则按需求实现）</t>
        </is>
      </c>
      <c r="F28" s="32" t="inlineStr">
        <is>
          <t>1. 已进入TMS货主端首页
2. 系统中存在时效预警、温度预警相关订单（如有）</t>
        </is>
      </c>
      <c r="G28" s="32" t="inlineStr">
        <is>
          <t>1. 查看承运商维度汇总中时效预警订单、温度预警订单字段
2. 对照业务规则或后台预警数据核对</t>
        </is>
      </c>
      <c r="H28" s="32" t="inlineStr">
        <is>
          <t>1. 页面展示时效预警订单、温度预警订单字段
2. 有预警数据时数量正确展示
3. 无预警数据时展示0或不影响页面正常显示</t>
        </is>
      </c>
      <c r="I28" s="31" t="inlineStr">
        <is>
          <t>高</t>
        </is>
      </c>
      <c r="J28" s="31" t="n"/>
      <c r="K28" s="31" t="n"/>
      <c r="L28" s="32" t="n"/>
    </row>
    <row r="29" ht="70" customHeight="1" s="1">
      <c r="A29" s="31" t="n">
        <v>19</v>
      </c>
      <c r="B29" s="31" t="inlineStr">
        <is>
          <t>TMS货主端首页</t>
        </is>
      </c>
      <c r="C29" s="31" t="inlineStr">
        <is>
          <t>温控概览-查询</t>
        </is>
      </c>
      <c r="D29" s="32" t="inlineStr">
        <is>
          <t>温控概览承运商多选查询验证</t>
        </is>
      </c>
      <c r="E29" s="32" t="inlineStr">
        <is>
          <t>验证温控概览支持承运商下拉多选查询</t>
        </is>
      </c>
      <c r="F29" s="32" t="inlineStr">
        <is>
          <t>1. 已进入TMS货主端首页
2. 存在多个承运商温控数据</t>
        </is>
      </c>
      <c r="G29" s="32" t="inlineStr">
        <is>
          <t>1. 在温控概览查询条件下拉框中多选承运商
2. 查看温控概览各数据变化
3. 取消部分选择后再次查看</t>
        </is>
      </c>
      <c r="H29" s="32" t="inlineStr">
        <is>
          <t>1. 承运商下拉框支持多选
2. 温控概览数据仅统计所选承运商范围
3. 多选变更后数据正确刷新</t>
        </is>
      </c>
      <c r="I29" s="31" t="inlineStr">
        <is>
          <t>高</t>
        </is>
      </c>
      <c r="J29" s="31" t="n"/>
      <c r="K29" s="31" t="n"/>
      <c r="L29" s="32" t="n"/>
    </row>
    <row r="30" ht="70" customHeight="1" s="1">
      <c r="A30" s="31" t="n">
        <v>20</v>
      </c>
      <c r="B30" s="31" t="inlineStr">
        <is>
          <t>TMS货主端首页</t>
        </is>
      </c>
      <c r="C30" s="31" t="inlineStr">
        <is>
          <t>温控概览-车辆</t>
        </is>
      </c>
      <c r="D30" s="32" t="inlineStr">
        <is>
          <t>总车辆与冷链车取值验证</t>
        </is>
      </c>
      <c r="E30" s="32" t="inlineStr">
        <is>
          <t>验证温控概览总车辆、冷链车取值正确</t>
        </is>
      </c>
      <c r="F30" s="32" t="inlineStr">
        <is>
          <t>1. 已进入TMS货主端首页温控概览
2. 存在启用车辆及冷藏/冷冻在执行任务车辆</t>
        </is>
      </c>
      <c r="G30" s="32" t="inlineStr">
        <is>
          <t>1. 设置温控概览承运商条件
2. 查看总车辆、冷链车数值
3. 与后台核对</t>
        </is>
      </c>
      <c r="H30" s="32" t="inlineStr">
        <is>
          <t>1. 总车辆=对应查询条件启用状态车辆总数
2. 冷链车=在执行中任务存在冷藏或冷冻任务的车数
3. 统计结果与后台一致</t>
        </is>
      </c>
      <c r="I30" s="31" t="inlineStr">
        <is>
          <t>高</t>
        </is>
      </c>
      <c r="J30" s="31" t="n"/>
      <c r="K30" s="31" t="n"/>
      <c r="L30" s="32" t="n"/>
    </row>
    <row r="31" ht="90" customHeight="1" s="1">
      <c r="A31" s="31" t="n">
        <v>21</v>
      </c>
      <c r="B31" s="31" t="inlineStr">
        <is>
          <t>TMS货主端首页</t>
        </is>
      </c>
      <c r="C31" s="31" t="inlineStr">
        <is>
          <t>温控概览-弹窗</t>
        </is>
      </c>
      <c r="D31" s="32" t="inlineStr">
        <is>
          <t>冷链车明细弹窗展示验证</t>
        </is>
      </c>
      <c r="E31" s="32" t="inlineStr">
        <is>
          <t>验证点击冷链车相关入口弹出明细，展示车牌、车型、温度，仅冷链车，超过四条可滑动</t>
        </is>
      </c>
      <c r="F31" s="32" t="inlineStr">
        <is>
          <t>1. 已进入温控概览
2. 冷链车数量大于4</t>
        </is>
      </c>
      <c r="G31" s="32" t="inlineStr">
        <is>
          <t>1. 点击冷链车或对应弹窗入口
2. 查看弹窗字段
3. 滑动查看超出四条的数据
4. 核对是否仅展示冷链车</t>
        </is>
      </c>
      <c r="H31" s="32" t="inlineStr">
        <is>
          <t>1. 弹窗字段包含：车牌、车型、温度
2. 仅展示冷链车数据
3. 超过四条数据时可滑动查看
4. 明细数据与冷链车范围一致</t>
        </is>
      </c>
      <c r="I31" s="31" t="inlineStr">
        <is>
          <t>高</t>
        </is>
      </c>
      <c r="J31" s="31" t="n"/>
      <c r="K31" s="31" t="n"/>
      <c r="L31" s="32" t="n"/>
    </row>
    <row r="32" ht="70" customHeight="1" s="1">
      <c r="A32" s="31" t="n">
        <v>22</v>
      </c>
      <c r="B32" s="31" t="inlineStr">
        <is>
          <t>TMS货主端首页</t>
        </is>
      </c>
      <c r="C32" s="31" t="inlineStr">
        <is>
          <t>温控概览-回传</t>
        </is>
      </c>
      <c r="D32" s="32" t="inlineStr">
        <is>
          <t>温度回传率与未回传数取值验证</t>
        </is>
      </c>
      <c r="E32" s="32" t="inlineStr">
        <is>
          <t>验证温控概览温度回传率、未回传数取值正确</t>
        </is>
      </c>
      <c r="F32" s="32" t="inlineStr">
        <is>
          <t>1. 已进入温控概览
2. 存在回传及未回传温度的冷链执行车辆</t>
        </is>
      </c>
      <c r="G32" s="32" t="inlineStr">
        <is>
          <t>1. 设置查询条件
2. 查看温度回传率、未回传数
3. 与后台回传情况核对</t>
        </is>
      </c>
      <c r="H32" s="32" t="inlineStr">
        <is>
          <t>1. 温度回传率=回传车辆数/在执行中任务存在冷藏或冷冻任务的车数
2. 未回传数=执行中冷藏或冷冻任务车辆从发车到当前时间无温度的车数
3. 页面数值与计算结果一致</t>
        </is>
      </c>
      <c r="I32" s="31" t="inlineStr">
        <is>
          <t>高</t>
        </is>
      </c>
      <c r="J32" s="31" t="n"/>
      <c r="K32" s="31" t="n"/>
      <c r="L32" s="32" t="n"/>
    </row>
    <row r="33" ht="90" customHeight="1" s="1">
      <c r="A33" s="31" t="n">
        <v>23</v>
      </c>
      <c r="B33" s="31" t="inlineStr">
        <is>
          <t>TMS货主端首页</t>
        </is>
      </c>
      <c r="C33" s="31" t="inlineStr">
        <is>
          <t>温控概览-弹窗</t>
        </is>
      </c>
      <c r="D33" s="32" t="inlineStr">
        <is>
          <t>温度回传率弹窗明细验证</t>
        </is>
      </c>
      <c r="E33" s="32" t="inlineStr">
        <is>
          <t>验证温度回传率弹窗展示当前回传率、回传率进度条及未回传明细车牌号</t>
        </is>
      </c>
      <c r="F33" s="32" t="inlineStr">
        <is>
          <t>1. 已进入温控概览
2. 存在未回传车辆</t>
        </is>
      </c>
      <c r="G33" s="32" t="inlineStr">
        <is>
          <t>1. 点击温度回传率或对应弹窗入口
2. 查看弹窗内容</t>
        </is>
      </c>
      <c r="H33" s="32" t="inlineStr">
        <is>
          <t>1. 弹窗展示当前回传率
2. 展示回传率进度条，进度与回传率一致
3. 未回传明细展示车牌号
4. 未回传明细与未回传车辆一致</t>
        </is>
      </c>
      <c r="I33" s="31" t="inlineStr">
        <is>
          <t>高</t>
        </is>
      </c>
      <c r="J33" s="31" t="n"/>
      <c r="K33" s="31" t="n"/>
      <c r="L33" s="32" t="n"/>
    </row>
    <row r="34" ht="90" customHeight="1" s="1">
      <c r="A34" s="31" t="n">
        <v>24</v>
      </c>
      <c r="B34" s="31" t="inlineStr">
        <is>
          <t>TMS货主端首页</t>
        </is>
      </c>
      <c r="C34" s="31" t="inlineStr">
        <is>
          <t>温控概览-合格率</t>
        </is>
      </c>
      <c r="D34" s="32" t="inlineStr">
        <is>
          <t>冷冻冷藏合格率取值验证</t>
        </is>
      </c>
      <c r="E34" s="32" t="inlineStr">
        <is>
          <t>验证-5合格率、-12合格率、3-6合格率取值计算正确</t>
        </is>
      </c>
      <c r="F34" s="32" t="inlineStr">
        <is>
          <t>1. 已进入温控概览
2. 存在冷冻/冷藏已签收任务及不同平均温度数据</t>
        </is>
      </c>
      <c r="G34" s="32" t="inlineStr">
        <is>
          <t>1. 查看-5合格率、-12合格率、3-6合格率
2. 按公式与后台已签收任务温度数据核对</t>
        </is>
      </c>
      <c r="H34" s="32" t="inlineStr">
        <is>
          <t>1. -5合格率=冷冻平均温度小于-5的数量/冷冻已签收任务总数
2. -12合格率=冷冻平均温度小于-12的数量/冷冻已签收任务总数
3. 3-6合格率=冷藏平均温度在3-6之间的数量/冷藏已签收任务总数
4. 页面展示与计算结果一致</t>
        </is>
      </c>
      <c r="I34" s="31" t="inlineStr">
        <is>
          <t>高</t>
        </is>
      </c>
      <c r="J34" s="31" t="n"/>
      <c r="K34" s="31" t="n"/>
      <c r="L34" s="32" t="n"/>
    </row>
    <row r="35" ht="90" customHeight="1" s="1">
      <c r="A35" s="31" t="n">
        <v>25</v>
      </c>
      <c r="B35" s="31" t="inlineStr">
        <is>
          <t>TMS货主端首页</t>
        </is>
      </c>
      <c r="C35" s="31" t="inlineStr">
        <is>
          <t>温控概览-弹窗</t>
        </is>
      </c>
      <c r="D35" s="32" t="inlineStr">
        <is>
          <t>合格率弹窗不合格车辆明细验证</t>
        </is>
      </c>
      <c r="E35" s="32" t="inlineStr">
        <is>
          <t>验证-5、-12、3-6合格率弹窗展示当前合格率、进度条及不合格车辆车牌号、当前温度</t>
        </is>
      </c>
      <c r="F35" s="32" t="inlineStr">
        <is>
          <t>1. 已进入温控概览
2. 存在温度不合格车辆</t>
        </is>
      </c>
      <c r="G35" s="32" t="inlineStr">
        <is>
          <t>1. 分别点击-5合格率、-12合格率、3-6合格率入口
2. 查看各弹窗字段与明细</t>
        </is>
      </c>
      <c r="H35" s="32" t="inlineStr">
        <is>
          <t>1. 各弹窗均展示当前合格率及合格率进度条
2. 温度不合格车辆明细展示车牌号、当前温度
3. 明细仅包含对应规则下不合格车辆
4. 进度条与合格率数值一致</t>
        </is>
      </c>
      <c r="I35" s="31" t="inlineStr">
        <is>
          <t>高</t>
        </is>
      </c>
      <c r="J35" s="31" t="n"/>
      <c r="K35" s="31" t="n"/>
      <c r="L35" s="32" t="n"/>
    </row>
    <row r="36" ht="70" customHeight="1" s="1">
      <c r="A36" s="31" t="n">
        <v>26</v>
      </c>
      <c r="B36" s="31" t="inlineStr">
        <is>
          <t>TMS货主端首页</t>
        </is>
      </c>
      <c r="C36" s="31" t="inlineStr">
        <is>
          <t>温控概览-轮播</t>
        </is>
      </c>
      <c r="D36" s="32" t="inlineStr">
        <is>
          <t>未回传温度车辆轮播展示验证</t>
        </is>
      </c>
      <c r="E36" s="32" t="inlineStr">
        <is>
          <t>验证未回传温度车辆展示车牌号、承运商，多条时轮播显示</t>
        </is>
      </c>
      <c r="F36" s="32" t="inlineStr">
        <is>
          <t>1. 已进入温控概览
2. 存在多条未回传温度车辆</t>
        </is>
      </c>
      <c r="G36" s="32" t="inlineStr">
        <is>
          <t>1. 查看未回传温度车辆区域
2. 核对字段
3. 观察多条数据是否轮播</t>
        </is>
      </c>
      <c r="H36" s="32" t="inlineStr">
        <is>
          <t>1. 字段展示车牌号、承运商
2. 存在多条时轮播显示
3. 轮播内容完整、无错乱</t>
        </is>
      </c>
      <c r="I36" s="31" t="inlineStr">
        <is>
          <t>高</t>
        </is>
      </c>
      <c r="J36" s="31" t="n"/>
      <c r="K36" s="31" t="n"/>
      <c r="L36" s="32" t="n"/>
    </row>
    <row r="37" ht="70" customHeight="1" s="1">
      <c r="A37" s="31" t="n">
        <v>27</v>
      </c>
      <c r="B37" s="31" t="inlineStr">
        <is>
          <t>TMS货主端首页</t>
        </is>
      </c>
      <c r="C37" s="31" t="inlineStr">
        <is>
          <t>温控概览-轮播</t>
        </is>
      </c>
      <c r="D37" s="32" t="inlineStr">
        <is>
          <t>温度不合格车辆轮播展示验证</t>
        </is>
      </c>
      <c r="E37" s="32" t="inlineStr">
        <is>
          <t>验证温度不合格车辆展示车牌号、承运商、温度，多条时轮播显示</t>
        </is>
      </c>
      <c r="F37" s="32" t="inlineStr">
        <is>
          <t>1. 已进入温控概览
2. 存在多条温度不合格车辆</t>
        </is>
      </c>
      <c r="G37" s="32" t="inlineStr">
        <is>
          <t>1. 查看温度不合格车辆区域
2. 核对字段
3. 观察多条数据是否轮播</t>
        </is>
      </c>
      <c r="H37" s="32" t="inlineStr">
        <is>
          <t>1. 字段展示车牌号、承运商、温度
2. 存在多条时轮播显示
3. 展示数据与不合格车辆一致</t>
        </is>
      </c>
      <c r="I37" s="31" t="inlineStr">
        <is>
          <t>高</t>
        </is>
      </c>
      <c r="J37" s="31" t="n"/>
      <c r="K37" s="31" t="n"/>
      <c r="L37" s="32" t="n"/>
    </row>
    <row r="38" ht="110" customHeight="1" s="1">
      <c r="A38" s="31" t="n">
        <v>28</v>
      </c>
      <c r="B38" s="31" t="inlineStr">
        <is>
          <t>TMS货主端首页</t>
        </is>
      </c>
      <c r="C38" s="31" t="inlineStr">
        <is>
          <t>温控概览-明细</t>
        </is>
      </c>
      <c r="D38" s="32" t="inlineStr">
        <is>
          <t>各承运商温控明细取值验证</t>
        </is>
      </c>
      <c r="E38" s="32" t="inlineStr">
        <is>
          <t>验证各承运商温控明细字段及冷链车、回传率、-5/-12/3-6合格率取值正确</t>
        </is>
      </c>
      <c r="F38" s="32" t="inlineStr">
        <is>
          <t>1. 已进入温控概览
2. 存在多个承运商温控数据</t>
        </is>
      </c>
      <c r="G38" s="32" t="inlineStr">
        <is>
          <t>1. 查看各承运商温控明细列表
2. 核对字段
3. 抽查某承运商指标与后台计算核对</t>
        </is>
      </c>
      <c r="H38" s="32" t="inlineStr">
        <is>
          <t>1. 字段展示：承运商、冷链车、回传率、-5合格率、-12合格率、3-6合格率
2. 冷链车=执行中存在冷藏或冷冻任务的车数
3. 回传率=承运商回传车辆数/冷链车数
4. -5/-12/3-6合格率按已签收任务温度规则计算
5. 各承运商分行统计准确</t>
        </is>
      </c>
      <c r="I38" s="31" t="inlineStr">
        <is>
          <t>高</t>
        </is>
      </c>
      <c r="J38" s="31" t="n"/>
      <c r="K38" s="31" t="n"/>
      <c r="L38" s="32" t="n"/>
    </row>
    <row r="39" ht="70" customHeight="1" s="1">
      <c r="A39" s="31" t="n">
        <v>29</v>
      </c>
      <c r="B39" s="31" t="inlineStr">
        <is>
          <t>TMS货主端首页</t>
        </is>
      </c>
      <c r="C39" s="31" t="inlineStr">
        <is>
          <t>执行概览-查询</t>
        </is>
      </c>
      <c r="D39" s="32" t="inlineStr">
        <is>
          <t>执行概览承运商多选查询验证</t>
        </is>
      </c>
      <c r="E39" s="32" t="inlineStr">
        <is>
          <t>验证执行概览支持承运商下拉多选查询</t>
        </is>
      </c>
      <c r="F39" s="32" t="inlineStr">
        <is>
          <t>1. 已进入TMS货主端首页
2. 存在多个承运商执行数据</t>
        </is>
      </c>
      <c r="G39" s="32" t="inlineStr">
        <is>
          <t>1. 在执行概览承运商下拉框中多选
2. 查看订单统计、异常反馈、回单指标变化</t>
        </is>
      </c>
      <c r="H39" s="32" t="inlineStr">
        <is>
          <t>1. 承运商下拉支持多选
2. 执行概览数据按所选承运商范围统计
3. 条件变更后数据正确刷新</t>
        </is>
      </c>
      <c r="I39" s="31" t="inlineStr">
        <is>
          <t>高</t>
        </is>
      </c>
      <c r="J39" s="31" t="n"/>
      <c r="K39" s="31" t="n"/>
      <c r="L39" s="32" t="n"/>
    </row>
    <row r="40" ht="70" customHeight="1" s="1">
      <c r="A40" s="31" t="n">
        <v>30</v>
      </c>
      <c r="B40" s="31" t="inlineStr">
        <is>
          <t>TMS货主端首页</t>
        </is>
      </c>
      <c r="C40" s="31" t="inlineStr">
        <is>
          <t>执行概览-订单统计</t>
        </is>
      </c>
      <c r="D40" s="32" t="inlineStr">
        <is>
          <t>执行概览订单状态字段展示验证</t>
        </is>
      </c>
      <c r="E40" s="32" t="inlineStr">
        <is>
          <t>验证执行概览展示总订单、待调度、未发车、已发车、已签收、未签收应签未签字段</t>
        </is>
      </c>
      <c r="F40" s="32" t="inlineStr">
        <is>
          <t>1. 已进入执行概览模块</t>
        </is>
      </c>
      <c r="G40" s="32" t="inlineStr">
        <is>
          <t>1. 查看执行概览数据1区域字段</t>
        </is>
      </c>
      <c r="H40" s="32" t="inlineStr">
        <is>
          <t>1. 展示字段包括：总订单、待调度、未发车、已发车、已签收、未签收应签未签
2. 字段名称展示正确，页面无缺失</t>
        </is>
      </c>
      <c r="I40" s="31" t="inlineStr">
        <is>
          <t>高</t>
        </is>
      </c>
      <c r="J40" s="31" t="n"/>
      <c r="K40" s="31" t="n"/>
      <c r="L40" s="32" t="n"/>
    </row>
    <row r="41" ht="130" customHeight="1" s="1">
      <c r="A41" s="31" t="n">
        <v>31</v>
      </c>
      <c r="B41" s="31" t="inlineStr">
        <is>
          <t>TMS货主端首页</t>
        </is>
      </c>
      <c r="C41" s="31" t="inlineStr">
        <is>
          <t>执行概览-订单统计</t>
        </is>
      </c>
      <c r="D41" s="32" t="inlineStr">
        <is>
          <t>总订单待调度未发车已发车已签收取值验证</t>
        </is>
      </c>
      <c r="E41" s="32" t="inlineStr">
        <is>
          <t>验证执行概览各订单状态数量按发运单/任务状态规则统计正确</t>
        </is>
      </c>
      <c r="F41" s="32" t="inlineStr">
        <is>
          <t>1. 已进入执行概览
2. 存在创建、调度中、已到场、已装车、已发车、已抵达、已签收等状态任务</t>
        </is>
      </c>
      <c r="G41" s="32" t="inlineStr">
        <is>
          <t>1. 设置查询条件
2. 查看总订单、待调度、未发车、已发车、已签收数值
3. 与后台任务/发运单状态核对</t>
        </is>
      </c>
      <c r="H41" s="32" t="inlineStr">
        <is>
          <t>1. 总订单=当前查询条件下总任务数
2. 待调度=发运单状态为创建的任务数
3. 未发车=发运单状态为创建、调度中及任务状态为已到场、已装车的任务数
4. 已发车=任务状态为已发车、已抵达的任务数
5. 已签收=任务状态为已签收的任务数
6. 各数量与后台一致</t>
        </is>
      </c>
      <c r="I41" s="31" t="inlineStr">
        <is>
          <t>高</t>
        </is>
      </c>
      <c r="J41" s="31" t="n"/>
      <c r="K41" s="31" t="n"/>
      <c r="L41" s="32" t="n"/>
    </row>
    <row r="42" ht="70" customHeight="1" s="1">
      <c r="A42" s="31" t="n">
        <v>32</v>
      </c>
      <c r="B42" s="31" t="inlineStr">
        <is>
          <t>TMS货主端首页</t>
        </is>
      </c>
      <c r="C42" s="31" t="inlineStr">
        <is>
          <t>执行概览-订单统计</t>
        </is>
      </c>
      <c r="D42" s="32" t="inlineStr">
        <is>
          <t>未签收应签未签取值验证</t>
        </is>
      </c>
      <c r="E42" s="32" t="inlineStr">
        <is>
          <t>验证未签收应签未签包含超时未签收及延迟签收两类数据</t>
        </is>
      </c>
      <c r="F42" s="32" t="inlineStr">
        <is>
          <t>1. 已进入执行概览
2. 存在创建时间+时效已超时且未签收的任务，以及延迟签收任务</t>
        </is>
      </c>
      <c r="G42" s="32" t="inlineStr">
        <is>
          <t>1. 查看未签收应签未签数量
2. 分别核对超时未签收任务与延迟签收任务
3. 汇总比对页面数量</t>
        </is>
      </c>
      <c r="H42" s="32" t="inlineStr">
        <is>
          <t>1. 统计包含：任务创建时间+时效&gt;当前时间且状态未签收的任务
2. 统计包含：签收状态为延迟签收的任务
3. 页面数量与两类数据合计一致（按实现去重规则核对）</t>
        </is>
      </c>
      <c r="I42" s="31" t="inlineStr">
        <is>
          <t>高</t>
        </is>
      </c>
      <c r="J42" s="31" t="n"/>
      <c r="K42" s="31" t="n"/>
      <c r="L42" s="32" t="n"/>
    </row>
    <row r="43" ht="70" customHeight="1" s="1">
      <c r="A43" s="31" t="n">
        <v>33</v>
      </c>
      <c r="B43" s="31" t="inlineStr">
        <is>
          <t>TMS货主端首页</t>
        </is>
      </c>
      <c r="C43" s="31" t="inlineStr">
        <is>
          <t>执行概览-异常反馈</t>
        </is>
      </c>
      <c r="D43" s="32" t="inlineStr">
        <is>
          <t>在途异常反馈轮播展示验证</t>
        </is>
      </c>
      <c r="E43" s="32" t="inlineStr">
        <is>
          <t>验证在途异常反馈展示承运商、车牌号、异常类型，多条时轮播</t>
        </is>
      </c>
      <c r="F43" s="32" t="inlineStr">
        <is>
          <t>1. 已进入执行概览
2. 存在多条在途异常反馈数据</t>
        </is>
      </c>
      <c r="G43" s="32" t="inlineStr">
        <is>
          <t>1. 查看在途异常反馈区域
2. 核对字段
3. 观察多条是否轮播</t>
        </is>
      </c>
      <c r="H43" s="32" t="inlineStr">
        <is>
          <t>1. 字段展示：承运商、车牌号、异常类型
2. 存在多条时轮播显示
3. 展示内容与异常反馈数据一致</t>
        </is>
      </c>
      <c r="I43" s="31" t="inlineStr">
        <is>
          <t>高</t>
        </is>
      </c>
      <c r="J43" s="31" t="n"/>
      <c r="K43" s="31" t="n"/>
      <c r="L43" s="32" t="n"/>
    </row>
    <row r="44" ht="70" customHeight="1" s="1">
      <c r="A44" s="31" t="n">
        <v>34</v>
      </c>
      <c r="B44" s="31" t="inlineStr">
        <is>
          <t>TMS货主端首页</t>
        </is>
      </c>
      <c r="C44" s="31" t="inlineStr">
        <is>
          <t>执行概览-回单</t>
        </is>
      </c>
      <c r="D44" s="32" t="inlineStr">
        <is>
          <t>回单上传率取值验证</t>
        </is>
      </c>
      <c r="E44" s="32" t="inlineStr">
        <is>
          <t>验证回单上传率=已签收已上传回单/已签收任务数</t>
        </is>
      </c>
      <c r="F44" s="32" t="inlineStr">
        <is>
          <t>1. 已进入执行概览
2. 存在已签收且已上传/未上传回单任务</t>
        </is>
      </c>
      <c r="G44" s="32" t="inlineStr">
        <is>
          <t>1. 查看回单上传率
2. 统计已签收已上传回单数与已签收任务数并计算</t>
        </is>
      </c>
      <c r="H44" s="32" t="inlineStr">
        <is>
          <t>1. 回单上传率=当前查询条件下已签收已上传回单/已签收任务数
2. 未签收任务不计入分母
3. 页面结果与计算一致</t>
        </is>
      </c>
      <c r="I44" s="31" t="inlineStr">
        <is>
          <t>高</t>
        </is>
      </c>
      <c r="J44" s="31" t="n"/>
      <c r="K44" s="31" t="n"/>
      <c r="L44" s="32" t="n"/>
    </row>
    <row r="45" ht="70" customHeight="1" s="1">
      <c r="A45" s="31" t="n">
        <v>35</v>
      </c>
      <c r="B45" s="31" t="inlineStr">
        <is>
          <t>TMS货主端首页</t>
        </is>
      </c>
      <c r="C45" s="31" t="inlineStr">
        <is>
          <t>执行概览-回单</t>
        </is>
      </c>
      <c r="D45" s="32" t="inlineStr">
        <is>
          <t>执行概览回单合格率取值验证</t>
        </is>
      </c>
      <c r="E45" s="32" t="inlineStr">
        <is>
          <t>验证执行概览回单合格率=回单合格为是的任务/已签收已上传回单且需要回单验证的任务数</t>
        </is>
      </c>
      <c r="F45" s="32" t="inlineStr">
        <is>
          <t>1. 已进入执行概览
2. 存在需回单验证且合格/不合格的已签收已上传回单任务</t>
        </is>
      </c>
      <c r="G45" s="32" t="inlineStr">
        <is>
          <t>1. 查看回单合格率
2. 与后台需回单验证任务及合格标识核对</t>
        </is>
      </c>
      <c r="H45" s="32" t="inlineStr">
        <is>
          <t>1. 回单合格率=回单是否合格为是的任务/已签收已上传回单且需要回单验证的任务数
2. 不需要回单验证的任务不计入分母
3. 页面结果与计算一致</t>
        </is>
      </c>
      <c r="I45" s="31" t="inlineStr">
        <is>
          <t>高</t>
        </is>
      </c>
      <c r="J45" s="31" t="n"/>
      <c r="K45" s="31" t="n"/>
      <c r="L45" s="32" t="n"/>
    </row>
    <row r="46" ht="70" customHeight="1" s="1">
      <c r="A46" s="31" t="n">
        <v>36</v>
      </c>
      <c r="B46" s="31" t="inlineStr">
        <is>
          <t>TMS货主端首页</t>
        </is>
      </c>
      <c r="C46" s="31" t="inlineStr">
        <is>
          <t>待办事项</t>
        </is>
      </c>
      <c r="D46" s="32" t="inlineStr">
        <is>
          <t>待调度确认取值验证</t>
        </is>
      </c>
      <c r="E46" s="32" t="inlineStr">
        <is>
          <t>验证待办事项待调度确认统计当前查询条件下创建状态发运单</t>
        </is>
      </c>
      <c r="F46" s="32" t="inlineStr">
        <is>
          <t>1. 已进入TMS货主端首页待办事项
2. 存在创建状态及其他状态发运单</t>
        </is>
      </c>
      <c r="G46" s="32" t="inlineStr">
        <is>
          <t>1. 设置查询条件
2. 查看待调度确认数量
3. 与创建状态发运单后台数据核对</t>
        </is>
      </c>
      <c r="H46" s="32" t="inlineStr">
        <is>
          <t>1. 待调度确认=当前查询条件下创建状态的发运单数量
2. 非创建状态不计入
3. 数量与后台一致</t>
        </is>
      </c>
      <c r="I46" s="31" t="inlineStr">
        <is>
          <t>高</t>
        </is>
      </c>
      <c r="J46" s="31" t="n"/>
      <c r="K46" s="31" t="n"/>
      <c r="L46" s="32" t="n"/>
    </row>
    <row r="47" ht="70" customHeight="1" s="1">
      <c r="A47" s="31" t="n">
        <v>37</v>
      </c>
      <c r="B47" s="31" t="inlineStr">
        <is>
          <t>TMS货主端首页</t>
        </is>
      </c>
      <c r="C47" s="31" t="inlineStr">
        <is>
          <t>待办事项</t>
        </is>
      </c>
      <c r="D47" s="32" t="inlineStr">
        <is>
          <t>应签未签跟踪取值验证</t>
        </is>
      </c>
      <c r="E47" s="32" t="inlineStr">
        <is>
          <t>验证应签未签跟踪统计超时未签收及延迟签收任务</t>
        </is>
      </c>
      <c r="F47" s="32" t="inlineStr">
        <is>
          <t>1. 已进入待办事项
2. 存在超时未签收及延迟签收任务</t>
        </is>
      </c>
      <c r="G47" s="32" t="inlineStr">
        <is>
          <t>1. 查看应签未签跟踪数量
2. 与后台两类任务核对</t>
        </is>
      </c>
      <c r="H47" s="32" t="inlineStr">
        <is>
          <t>1. 统计包含：任务创建时间+时效&gt;当前时间且状态未签收
2. 统计包含：签收状态为延迟签收
3. 数量展示正确</t>
        </is>
      </c>
      <c r="I47" s="31" t="inlineStr">
        <is>
          <t>高</t>
        </is>
      </c>
      <c r="J47" s="31" t="n"/>
      <c r="K47" s="31" t="n"/>
      <c r="L47" s="32" t="n"/>
    </row>
    <row r="48" ht="70" customHeight="1" s="1">
      <c r="A48" s="31" t="n">
        <v>38</v>
      </c>
      <c r="B48" s="31" t="inlineStr">
        <is>
          <t>TMS承运商首页</t>
        </is>
      </c>
      <c r="C48" s="31" t="inlineStr">
        <is>
          <t>菜单与页面</t>
        </is>
      </c>
      <c r="D48" s="32" t="inlineStr">
        <is>
          <t>承运商首页模块入口展示验证</t>
        </is>
      </c>
      <c r="E48" s="32" t="inlineStr">
        <is>
          <t>验证系统新增TMS承运商端首页模块，有权限承运商用户可正常进入</t>
        </is>
      </c>
      <c r="F48" s="32" t="inlineStr">
        <is>
          <t>1. 已使用承运商账号登录系统
2. 用户拥有TMS承运商首页访问权限</t>
        </is>
      </c>
      <c r="G48" s="32" t="inlineStr">
        <is>
          <t>1. 登录系统
2. 查找TMS承运商首页入口
3. 点击进入页面</t>
        </is>
      </c>
      <c r="H48" s="32" t="inlineStr">
        <is>
          <t>1. 菜单中展示承运商首页入口
2. 点击后正常进入承运商首页
3. 页面加载无报错、无白屏</t>
        </is>
      </c>
      <c r="I48" s="31" t="inlineStr">
        <is>
          <t>高</t>
        </is>
      </c>
      <c r="J48" s="31" t="n"/>
      <c r="K48" s="31" t="n"/>
      <c r="L48" s="32" t="n"/>
    </row>
    <row r="49" ht="90" customHeight="1" s="1">
      <c r="A49" s="31" t="n">
        <v>39</v>
      </c>
      <c r="B49" s="31" t="inlineStr">
        <is>
          <t>TMS承运商首页</t>
        </is>
      </c>
      <c r="C49" s="31" t="inlineStr">
        <is>
          <t>查询条件</t>
        </is>
      </c>
      <c r="D49" s="32" t="inlineStr">
        <is>
          <t>承运商首页日期查询与默认值验证</t>
        </is>
      </c>
      <c r="E49" s="32" t="inlineStr">
        <is>
          <t>验证承运商首页查询条件为日期，默认当天，并支持按日期筛选</t>
        </is>
      </c>
      <c r="F49" s="32" t="inlineStr">
        <is>
          <t>1. 已进入TMS承运商首页
2. 存在不同日期业务数据</t>
        </is>
      </c>
      <c r="G49" s="32" t="inlineStr">
        <is>
          <t>1. 进入承运商首页，查看查询条件
2. 确认日期默认值
3. 修改为其他日期并查询
4. 核对出车车次等相关指标</t>
        </is>
      </c>
      <c r="H49" s="32" t="inlineStr">
        <is>
          <t>1. 查询条件展示日期
2. 日期默认当天
3. 修改日期后，出车车次等按所选日期重新统计
4. 页面仅展示当前登录承运商数据</t>
        </is>
      </c>
      <c r="I49" s="31" t="inlineStr">
        <is>
          <t>高</t>
        </is>
      </c>
      <c r="J49" s="31" t="n"/>
      <c r="K49" s="31" t="n"/>
      <c r="L49" s="32" t="n"/>
    </row>
    <row r="50" ht="90" customHeight="1" s="1">
      <c r="A50" s="31" t="n">
        <v>40</v>
      </c>
      <c r="B50" s="31" t="inlineStr">
        <is>
          <t>TMS承运商首页</t>
        </is>
      </c>
      <c r="C50" s="31" t="inlineStr">
        <is>
          <t>自动刷新</t>
        </is>
      </c>
      <c r="D50" s="32" t="inlineStr">
        <is>
          <t>承运商首页每5分钟自动刷新验证</t>
        </is>
      </c>
      <c r="E50" s="32" t="inlineStr">
        <is>
          <t>验证承运商首页每5分钟根据当前查询条件自动刷新</t>
        </is>
      </c>
      <c r="F50" s="32" t="inlineStr">
        <is>
          <t>1. 已进入TMS承运商首页
2. 已设置日期查询条件</t>
        </is>
      </c>
      <c r="G50" s="32" t="inlineStr">
        <is>
          <t>1. 记录当前页面数据
2. 后台变更符合条件的数据
3. 停留页面等待不少于5分钟
4. 观察是否自动刷新</t>
        </is>
      </c>
      <c r="H50" s="32" t="inlineStr">
        <is>
          <t>1. 页面每5分钟自动刷新
2. 刷新后保持当前日期查询条件
3. 刷新后展示最新统计结果</t>
        </is>
      </c>
      <c r="I50" s="31" t="inlineStr">
        <is>
          <t>高</t>
        </is>
      </c>
      <c r="J50" s="31" t="n"/>
      <c r="K50" s="31" t="n"/>
      <c r="L50" s="32" t="n"/>
    </row>
    <row r="51" ht="90" customHeight="1" s="1">
      <c r="A51" s="31" t="n">
        <v>41</v>
      </c>
      <c r="B51" s="31" t="inlineStr">
        <is>
          <t>TMS承运商首页</t>
        </is>
      </c>
      <c r="C51" s="31" t="inlineStr">
        <is>
          <t>数据总览-字段展示</t>
        </is>
      </c>
      <c r="D51" s="32" t="inlineStr">
        <is>
          <t>承运商数据总览字段展示验证</t>
        </is>
      </c>
      <c r="E51" s="32" t="inlineStr">
        <is>
          <t>验证承运商首页数据总览字段完整展示</t>
        </is>
      </c>
      <c r="F51" s="32" t="inlineStr">
        <is>
          <t>1. 已进入TMS承运商首页</t>
        </is>
      </c>
      <c r="G51" s="32" t="inlineStr">
        <is>
          <t>1. 查看数据总览模块字段</t>
        </is>
      </c>
      <c r="H51" s="32" t="inlineStr">
        <is>
          <t>1. 展示车辆数、常温车、冷冻车、双温车、三温车
2. 展示出车车次
3. 展示总司机数、临时、非临时
4. 展示温度回传率、冷藏/冷冻温度合格率、回单合格率</t>
        </is>
      </c>
      <c r="I51" s="31" t="inlineStr">
        <is>
          <t>高</t>
        </is>
      </c>
      <c r="J51" s="31" t="n"/>
      <c r="K51" s="31" t="n"/>
      <c r="L51" s="32" t="n"/>
    </row>
    <row r="52" ht="90" customHeight="1" s="1">
      <c r="A52" s="31" t="n">
        <v>42</v>
      </c>
      <c r="B52" s="31" t="inlineStr">
        <is>
          <t>TMS承运商首页</t>
        </is>
      </c>
      <c r="C52" s="31" t="inlineStr">
        <is>
          <t>数据总览-取值</t>
        </is>
      </c>
      <c r="D52" s="32" t="inlineStr">
        <is>
          <t>承运商车辆与出车车次统计验证</t>
        </is>
      </c>
      <c r="E52" s="32" t="inlineStr">
        <is>
          <t>验证承运商首页车辆分类及出车车次按当前承运商统计</t>
        </is>
      </c>
      <c r="F52" s="32" t="inlineStr">
        <is>
          <t>1. 已进入承运商首页
2. 当前承运商存在不同类型启用车辆及发车数据</t>
        </is>
      </c>
      <c r="G52" s="32" t="inlineStr">
        <is>
          <t>1. 设置日期条件
2. 查看车辆数、各车型数量、出车车次
3. 与当前承运商后台数据核对</t>
        </is>
      </c>
      <c r="H52" s="32" t="inlineStr">
        <is>
          <t>1. 车辆及车型统计仅包含当前承运商数据
2. 出车车次=发车时间在对应查询条件下的车数
3. 不包含其他承运商数据
4. 结果与后台一致</t>
        </is>
      </c>
      <c r="I52" s="31" t="inlineStr">
        <is>
          <t>高</t>
        </is>
      </c>
      <c r="J52" s="31" t="n"/>
      <c r="K52" s="31" t="n"/>
      <c r="L52" s="32" t="n"/>
    </row>
    <row r="53" ht="90" customHeight="1" s="1">
      <c r="A53" s="31" t="n">
        <v>43</v>
      </c>
      <c r="B53" s="31" t="inlineStr">
        <is>
          <t>TMS承运商首页</t>
        </is>
      </c>
      <c r="C53" s="31" t="inlineStr">
        <is>
          <t>数据总览-取值</t>
        </is>
      </c>
      <c r="D53" s="32" t="inlineStr">
        <is>
          <t>承运商司机数统计验证</t>
        </is>
      </c>
      <c r="E53" s="32" t="inlineStr">
        <is>
          <t>验证承运商首页总司机数、临时、非临时按启用状态及工作性质统计</t>
        </is>
      </c>
      <c r="F53" s="32" t="inlineStr">
        <is>
          <t>1. 已进入承运商首页
2. 当前承运商存在临时/非临时启用司机</t>
        </is>
      </c>
      <c r="G53" s="32" t="inlineStr">
        <is>
          <t>1. 查看总司机数、临时、非临时
2. 与司机主数据核对</t>
        </is>
      </c>
      <c r="H53" s="32" t="inlineStr">
        <is>
          <t>1. 总司机数=启用状态司机总数
2. 临时=启用且工作性质为临时司机总数
3. 非临时=启用且工作性质为非临时司机总数
4. 仅统计当前承运商司机</t>
        </is>
      </c>
      <c r="I53" s="31" t="inlineStr">
        <is>
          <t>高</t>
        </is>
      </c>
      <c r="J53" s="31" t="n"/>
      <c r="K53" s="31" t="n"/>
      <c r="L53" s="32" t="n"/>
    </row>
    <row r="54" ht="90" customHeight="1" s="1">
      <c r="A54" s="31" t="n">
        <v>44</v>
      </c>
      <c r="B54" s="31" t="inlineStr">
        <is>
          <t>TMS承运商首页</t>
        </is>
      </c>
      <c r="C54" s="31" t="inlineStr">
        <is>
          <t>数据总览-取值</t>
        </is>
      </c>
      <c r="D54" s="32" t="inlineStr">
        <is>
          <t>承运商温度回传率与温度合格率取值验证</t>
        </is>
      </c>
      <c r="E54" s="32" t="inlineStr">
        <is>
          <t>验证承运商首页温度回传率、冷藏/冷冻温度合格率按当前承运商计算</t>
        </is>
      </c>
      <c r="F54" s="32" t="inlineStr">
        <is>
          <t>1. 已进入承运商首页
2. 当前承运商存在冷藏/冷冻任务及回传数据</t>
        </is>
      </c>
      <c r="G54" s="32" t="inlineStr">
        <is>
          <t>1. 查看温度回传率、冷藏温度合格率、冷冻温度合格率
2. 按公式与后台核对</t>
        </is>
      </c>
      <c r="H54" s="32" t="inlineStr">
        <is>
          <t>1. 温度回传率=回传车辆数/执行中存在冷藏或冷冻任务的车数
2. 冷藏温度合格率=当前承运商冷藏任务平均温度合格数/冷藏任务总数
3. 冷冻温度合格率=当前承运商冷冻任务平均温度合格数/冷冻任务总数
4. 结果与计算一致</t>
        </is>
      </c>
      <c r="I54" s="31" t="inlineStr">
        <is>
          <t>高</t>
        </is>
      </c>
      <c r="J54" s="31" t="n"/>
      <c r="K54" s="31" t="n"/>
      <c r="L54" s="32" t="n"/>
    </row>
    <row r="55" ht="70" customHeight="1" s="1">
      <c r="A55" s="31" t="n">
        <v>45</v>
      </c>
      <c r="B55" s="31" t="inlineStr">
        <is>
          <t>TMS承运商首页</t>
        </is>
      </c>
      <c r="C55" s="31" t="inlineStr">
        <is>
          <t>数据总览-取值</t>
        </is>
      </c>
      <c r="D55" s="32" t="inlineStr">
        <is>
          <t>承运商回单合格率取值验证</t>
        </is>
      </c>
      <c r="E55" s="32" t="inlineStr">
        <is>
          <t>验证承运商首页回单合格率=回单合格为是/已签状态任务总数</t>
        </is>
      </c>
      <c r="F55" s="32" t="inlineStr">
        <is>
          <t>1. 已进入承运商首页
2. 当前承运商存在已签及回单合格数据</t>
        </is>
      </c>
      <c r="G55" s="32" t="inlineStr">
        <is>
          <t>1. 查看回单合格率
2. 与后台已签任务及回单合格标识核对</t>
        </is>
      </c>
      <c r="H55" s="32" t="inlineStr">
        <is>
          <t>1. 回单合格率=当前承运商回单是否合格为是/已签状态任务总数
2. 仅统计当前承运商
3. 结果与计算一致</t>
        </is>
      </c>
      <c r="I55" s="31" t="inlineStr">
        <is>
          <t>高</t>
        </is>
      </c>
      <c r="J55" s="31" t="n"/>
      <c r="K55" s="31" t="n"/>
      <c r="L55" s="32" t="n"/>
    </row>
    <row r="56" ht="90" customHeight="1" s="1">
      <c r="A56" s="31" t="n">
        <v>46</v>
      </c>
      <c r="B56" s="31" t="inlineStr">
        <is>
          <t>TMS承运商首页</t>
        </is>
      </c>
      <c r="C56" s="31" t="inlineStr">
        <is>
          <t>温控概览-车辆</t>
        </is>
      </c>
      <c r="D56" s="32" t="inlineStr">
        <is>
          <t>承运商温控总车辆冷链车及弹窗验证</t>
        </is>
      </c>
      <c r="E56" s="32" t="inlineStr">
        <is>
          <t>验证承运商温控概览总车辆、冷链车取值及冷链车弹窗</t>
        </is>
      </c>
      <c r="F56" s="32" t="inlineStr">
        <is>
          <t>1. 已进入承运商首页温控概览
2. 存在冷链车数据且数量可大于4</t>
        </is>
      </c>
      <c r="G56" s="32" t="inlineStr">
        <is>
          <t>1. 查看总车辆、冷链车
2. 打开冷链车弹窗
3. 核对车牌、车型、温度及滑动</t>
        </is>
      </c>
      <c r="H56" s="32" t="inlineStr">
        <is>
          <t>1. 总车辆=当前承运商启用状态车辆总数
2. 冷链车=当前承运商执行中存在冷藏或冷冻任务的车数
3. 弹窗仅展示冷链车，字段为车牌、车型、温度
4. 超过四条可滑动</t>
        </is>
      </c>
      <c r="I56" s="31" t="inlineStr">
        <is>
          <t>高</t>
        </is>
      </c>
      <c r="J56" s="31" t="n"/>
      <c r="K56" s="31" t="n"/>
      <c r="L56" s="32" t="n"/>
    </row>
    <row r="57" ht="70" customHeight="1" s="1">
      <c r="A57" s="31" t="n">
        <v>47</v>
      </c>
      <c r="B57" s="31" t="inlineStr">
        <is>
          <t>TMS承运商首页</t>
        </is>
      </c>
      <c r="C57" s="31" t="inlineStr">
        <is>
          <t>温控概览-回传</t>
        </is>
      </c>
      <c r="D57" s="32" t="inlineStr">
        <is>
          <t>承运商温度回传率未回传数及弹窗验证</t>
        </is>
      </c>
      <c r="E57" s="32" t="inlineStr">
        <is>
          <t>验证承运商温控概览温度回传率、未回传数及回传率弹窗</t>
        </is>
      </c>
      <c r="F57" s="32" t="inlineStr">
        <is>
          <t>1. 已进入承运商温控概览
2. 存在回传/未回传车辆</t>
        </is>
      </c>
      <c r="G57" s="32" t="inlineStr">
        <is>
          <t>1. 查看温度回传率、未回传数
2. 打开回传率弹窗查看进度条及未回传明细</t>
        </is>
      </c>
      <c r="H57" s="32" t="inlineStr">
        <is>
          <t>1. 温度回传率=当前承运商回传车辆数/冷链执行车数
2. 未回传数=发车至当前无温度的冷链执行车数
3. 弹窗展示当前回传率、回传率进度条、未回传明细车牌号</t>
        </is>
      </c>
      <c r="I57" s="31" t="inlineStr">
        <is>
          <t>高</t>
        </is>
      </c>
      <c r="J57" s="31" t="n"/>
      <c r="K57" s="31" t="n"/>
      <c r="L57" s="32" t="n"/>
    </row>
    <row r="58" ht="90" customHeight="1" s="1">
      <c r="A58" s="31" t="n">
        <v>48</v>
      </c>
      <c r="B58" s="31" t="inlineStr">
        <is>
          <t>TMS承运商首页</t>
        </is>
      </c>
      <c r="C58" s="31" t="inlineStr">
        <is>
          <t>温控概览-合格率</t>
        </is>
      </c>
      <c r="D58" s="32" t="inlineStr">
        <is>
          <t>承运商冷冻冷藏合格率及弹窗验证</t>
        </is>
      </c>
      <c r="E58" s="32" t="inlineStr">
        <is>
          <t>验证承运商-5、-12、3-6合格率计算及不合格车辆弹窗</t>
        </is>
      </c>
      <c r="F58" s="32" t="inlineStr">
        <is>
          <t>1. 已进入承运商温控概览
2. 存在冷冻/冷藏已签收及不合格温度数据</t>
        </is>
      </c>
      <c r="G58" s="32" t="inlineStr">
        <is>
          <t>1. 查看三项合格率
2. 分别打开弹窗查看合格率、进度条、不合格明细</t>
        </is>
      </c>
      <c r="H58" s="32" t="inlineStr">
        <is>
          <t>1. -5合格率=冷冻平均温度&lt;-5数量/冷冻已签收任务总数
2. -12合格率=冷冻平均温度&lt;-12数量/冷冻已签收任务总数
3. 3-6合格率=冷藏平均温度在3-6之间数量/冷藏已签收任务总数
4. 弹窗展示当前合格率、进度条、不合格车辆车牌号与当前温度</t>
        </is>
      </c>
      <c r="I58" s="31" t="inlineStr">
        <is>
          <t>高</t>
        </is>
      </c>
      <c r="J58" s="31" t="n"/>
      <c r="K58" s="31" t="n"/>
      <c r="L58" s="32" t="n"/>
    </row>
    <row r="59" ht="90" customHeight="1" s="1">
      <c r="A59" s="31" t="n">
        <v>49</v>
      </c>
      <c r="B59" s="31" t="inlineStr">
        <is>
          <t>TMS承运商首页</t>
        </is>
      </c>
      <c r="C59" s="31" t="inlineStr">
        <is>
          <t>温控概览-轮播与明细</t>
        </is>
      </c>
      <c r="D59" s="32" t="inlineStr">
        <is>
          <t>承运商未回传不合格轮播及温控明细验证</t>
        </is>
      </c>
      <c r="E59" s="32" t="inlineStr">
        <is>
          <t>验证承运商未回传温度车辆、温度不合格车辆轮播及各承运商温控明细</t>
        </is>
      </c>
      <c r="F59" s="32" t="inlineStr">
        <is>
          <t>1. 已进入承运商温控概览
2. 存在未回传、不合格车辆及温控明细数据</t>
        </is>
      </c>
      <c r="G59" s="32" t="inlineStr">
        <is>
          <t>1. 查看未回传温度车辆轮播字段
2. 查看温度不合格车辆轮播字段
3. 查看各承运商温控明细字段与取值</t>
        </is>
      </c>
      <c r="H59" s="32" t="inlineStr">
        <is>
          <t>1. 未回传车辆展示车牌号、承运商，多条轮播
2. 不合格车辆展示车牌号、承运商、温度，多条轮播
3. 温控明细字段：承运商、冷链车、回传率、-5合格率、-12合格率、3-6合格率
4. 各指标按当前承运商规则计算正确</t>
        </is>
      </c>
      <c r="I59" s="31" t="inlineStr">
        <is>
          <t>高</t>
        </is>
      </c>
      <c r="J59" s="31" t="n"/>
      <c r="K59" s="31" t="n"/>
      <c r="L59" s="32" t="n"/>
    </row>
    <row r="60" ht="140" customHeight="1" s="1">
      <c r="A60" s="31" t="n">
        <v>50</v>
      </c>
      <c r="B60" s="31" t="inlineStr">
        <is>
          <t>TMS承运商首页</t>
        </is>
      </c>
      <c r="C60" s="31" t="inlineStr">
        <is>
          <t>执行概览-订单统计</t>
        </is>
      </c>
      <c r="D60" s="32" t="inlineStr">
        <is>
          <t>承运商执行概览订单状态统计验证</t>
        </is>
      </c>
      <c r="E60" s="32" t="inlineStr">
        <is>
          <t>验证承运商执行概览总订单、待调度、未发车、已发车、已签收、未签收应签未签取值</t>
        </is>
      </c>
      <c r="F60" s="32" t="inlineStr">
        <is>
          <t>1. 已进入承运商首页执行概览
2. 当前承运商存在各状态任务</t>
        </is>
      </c>
      <c r="G60" s="32" t="inlineStr">
        <is>
          <t>1. 设置日期及承运商多选条件（如有）
2. 查看各订单状态数量
3. 与当前承运商后台任务核对</t>
        </is>
      </c>
      <c r="H60" s="32" t="inlineStr">
        <is>
          <t>1. 总订单=当前承运商下总任务数
2. 待调度=发运单状态为创建的任务数
3. 未发车=发运单创建/调度中及任务已到场/已装车任务数
4. 已发车=任务已发车、已抵达数
5. 已签收=任务已签收数
6. 未签收应签未签包含超时未签收与延迟签收
7. 仅统计当前承运商数据</t>
        </is>
      </c>
      <c r="I60" s="31" t="inlineStr">
        <is>
          <t>高</t>
        </is>
      </c>
      <c r="J60" s="31" t="n"/>
      <c r="K60" s="31" t="n"/>
      <c r="L60" s="32" t="n"/>
    </row>
    <row r="61" ht="90" customHeight="1" s="1">
      <c r="A61" s="31" t="n">
        <v>51</v>
      </c>
      <c r="B61" s="31" t="inlineStr">
        <is>
          <t>TMS承运商首页</t>
        </is>
      </c>
      <c r="C61" s="31" t="inlineStr">
        <is>
          <t>执行概览-异常与回单</t>
        </is>
      </c>
      <c r="D61" s="32" t="inlineStr">
        <is>
          <t>承运商在途异常与回单指标验证</t>
        </is>
      </c>
      <c r="E61" s="32" t="inlineStr">
        <is>
          <t>验证承运商在途异常反馈轮播及回单上传率、回单合格率</t>
        </is>
      </c>
      <c r="F61" s="32" t="inlineStr">
        <is>
          <t>1. 已进入承运商执行概览
2. 存在在途异常及回单相关任务</t>
        </is>
      </c>
      <c r="G61" s="32" t="inlineStr">
        <is>
          <t>1. 查看在途异常反馈字段与轮播
2. 查看回单上传率并核对计算
3. 查看回单合格率并核对计算</t>
        </is>
      </c>
      <c r="H61" s="32" t="inlineStr">
        <is>
          <t>1. 在途异常反馈展示承运商、车牌号、异常类型，多条轮播
2. 回单上传率=已签收已上传回单/已签收任务数
3. 回单合格率=回单合格为是的任务/已签收已上传回单且需回单验证任务数
4. 指标仅统计当前承运商</t>
        </is>
      </c>
      <c r="I61" s="31" t="inlineStr">
        <is>
          <t>高</t>
        </is>
      </c>
      <c r="J61" s="31" t="n"/>
      <c r="K61" s="31" t="n"/>
      <c r="L61" s="32" t="n"/>
    </row>
    <row r="62" ht="70" customHeight="1" s="1">
      <c r="A62" s="31" t="n">
        <v>52</v>
      </c>
      <c r="B62" s="31" t="inlineStr">
        <is>
          <t>TMS承运商首页</t>
        </is>
      </c>
      <c r="C62" s="31" t="inlineStr">
        <is>
          <t>待办事项</t>
        </is>
      </c>
      <c r="D62" s="32" t="inlineStr">
        <is>
          <t>承运商待调度确认与应签未签跟踪验证</t>
        </is>
      </c>
      <c r="E62" s="32" t="inlineStr">
        <is>
          <t>验证承运商待办事项待调度确认、应签未签跟踪取值正确</t>
        </is>
      </c>
      <c r="F62" s="32" t="inlineStr">
        <is>
          <t>1. 已进入承运商首页待办事项
2. 存在创建状态发运单及应签未签任务</t>
        </is>
      </c>
      <c r="G62" s="32" t="inlineStr">
        <is>
          <t>1. 查看待调度确认数量
2. 查看应签未签跟踪数量
3. 与后台数据核对</t>
        </is>
      </c>
      <c r="H62" s="32" t="inlineStr">
        <is>
          <t>1. 待调度确认=当前查询条件下创建状态发运单数量
2. 应签未签跟踪包含超时未签收与延迟签收任务
3. 数量仅反映当前承运商范围且与后台一致</t>
        </is>
      </c>
      <c r="I62" s="31" t="inlineStr">
        <is>
          <t>高</t>
        </is>
      </c>
      <c r="J62" s="31" t="n"/>
      <c r="K62" s="31" t="n"/>
      <c r="L62" s="32" t="n"/>
    </row>
    <row r="63" ht="70" customHeight="1" s="1">
      <c r="A63" s="31" t="n">
        <v>53</v>
      </c>
      <c r="B63" s="31" t="inlineStr">
        <is>
          <t>TMS货主端首页</t>
        </is>
      </c>
      <c r="C63" s="31" t="inlineStr">
        <is>
          <t>权限与数据隔离</t>
        </is>
      </c>
      <c r="D63" s="32" t="inlineStr">
        <is>
          <t>货主端无权限用户不可访问验证</t>
        </is>
      </c>
      <c r="E63" s="32" t="inlineStr">
        <is>
          <t>验证无TMS货主端首页权限的用户无法访问该页面</t>
        </is>
      </c>
      <c r="F63" s="32" t="inlineStr">
        <is>
          <t>1. 准备无货主端首页权限的账号</t>
        </is>
      </c>
      <c r="G63" s="32" t="inlineStr">
        <is>
          <t>1. 使用无权限账号登录
2. 查找货主端首页菜单
3. 如有直接URL，尝试访问</t>
        </is>
      </c>
      <c r="H63" s="32" t="inlineStr">
        <is>
          <t>1. 菜单中不展示货主端首页入口，或点击后提示无权限
2. 无法查看货主端首页业务数据</t>
        </is>
      </c>
      <c r="I63" s="31" t="inlineStr">
        <is>
          <t>高</t>
        </is>
      </c>
      <c r="J63" s="31" t="n"/>
      <c r="K63" s="31" t="n"/>
      <c r="L63" s="32" t="n"/>
    </row>
    <row r="64" ht="70" customHeight="1" s="1">
      <c r="A64" s="31" t="n">
        <v>54</v>
      </c>
      <c r="B64" s="31" t="inlineStr">
        <is>
          <t>TMS承运商首页</t>
        </is>
      </c>
      <c r="C64" s="31" t="inlineStr">
        <is>
          <t>权限与数据隔离</t>
        </is>
      </c>
      <c r="D64" s="32" t="inlineStr">
        <is>
          <t>承运商仅能查看本承运商数据验证</t>
        </is>
      </c>
      <c r="E64" s="32" t="inlineStr">
        <is>
          <t>验证承运商账号登录后首页仅展示本承运商数据，不串数</t>
        </is>
      </c>
      <c r="F64" s="32" t="inlineStr">
        <is>
          <t>1. 已使用承运商A账号登录并进入承运商首页
2. 系统中存在承运商B的车辆、任务数据</t>
        </is>
      </c>
      <c r="G64" s="32" t="inlineStr">
        <is>
          <t>1. 查看数据总览、温控概览、执行概览、待办事项数据
2. 与承运商A后台数据核对
3. 确认是否出现承运商B数据</t>
        </is>
      </c>
      <c r="H64" s="32" t="inlineStr">
        <is>
          <t>1. 各模块仅展示承运商A的数据
2. 不展示承运商B的车辆、任务、异常等信息
3. 统计结果与承运商A后台一致</t>
        </is>
      </c>
      <c r="I64" s="31" t="inlineStr">
        <is>
          <t>高</t>
        </is>
      </c>
      <c r="J64" s="31" t="n"/>
      <c r="K64" s="31" t="n"/>
      <c r="L64" s="32" t="n"/>
    </row>
    <row r="65" ht="70" customHeight="1" s="1">
      <c r="A65" s="31" t="n">
        <v>55</v>
      </c>
      <c r="B65" s="31" t="inlineStr">
        <is>
          <t>TMS货主端首页</t>
        </is>
      </c>
      <c r="C65" s="31" t="inlineStr">
        <is>
          <t>空数据与异常</t>
        </is>
      </c>
      <c r="D65" s="32" t="inlineStr">
        <is>
          <t>查询无数据时页面展示验证</t>
        </is>
      </c>
      <c r="E65" s="32" t="inlineStr">
        <is>
          <t>验证查询条件下无业务数据时页面友好展示，不报错</t>
        </is>
      </c>
      <c r="F65" s="32" t="inlineStr">
        <is>
          <t>1. 已进入货主端首页
2. 选择无业务数据的仓库/承运商/日期组合</t>
        </is>
      </c>
      <c r="G65" s="32" t="inlineStr">
        <is>
          <t>1. 设置无数据的查询条件并查询
2. 查看各模块展示</t>
        </is>
      </c>
      <c r="H65" s="32" t="inlineStr">
        <is>
          <t>1. 页面正常加载，无报错、无白屏
2. 统计类指标展示0或空态提示
3. 列表/轮播区域展示空状态，不影响其他模块</t>
        </is>
      </c>
      <c r="I65" s="31" t="inlineStr">
        <is>
          <t>高</t>
        </is>
      </c>
      <c r="J65" s="31" t="n"/>
      <c r="K65" s="31" t="n"/>
      <c r="L65" s="32" t="n"/>
    </row>
    <row r="66" ht="70" customHeight="1" s="1">
      <c r="A66" s="31" t="n">
        <v>56</v>
      </c>
      <c r="B66" s="31" t="inlineStr">
        <is>
          <t>TMS货主端首页</t>
        </is>
      </c>
      <c r="C66" s="31" t="inlineStr">
        <is>
          <t>空数据与异常</t>
        </is>
      </c>
      <c r="D66" s="32" t="inlineStr">
        <is>
          <t>分母为0时比率类指标展示验证</t>
        </is>
      </c>
      <c r="E66" s="32" t="inlineStr">
        <is>
          <t>验证温度回传率、合格率、回单率等在分母为0时展示符合约定且不报错</t>
        </is>
      </c>
      <c r="F66" s="32" t="inlineStr">
        <is>
          <t>1. 已进入货主端首页
2. 构造冷链车数为0或已签收任务数为0的查询场景</t>
        </is>
      </c>
      <c r="G66" s="32" t="inlineStr">
        <is>
          <t>1. 设置对应查询条件
2. 查看温度回传率、各项合格率、回单上传率、回单合格率</t>
        </is>
      </c>
      <c r="H66" s="32" t="inlineStr">
        <is>
          <t>1. 页面不报错
2. 比率类指标按产品约定展示为0%、--或空
3. 不影响其他有数据模块正常展示</t>
        </is>
      </c>
      <c r="I66" s="31" t="inlineStr">
        <is>
          <t>高</t>
        </is>
      </c>
      <c r="J66" s="31" t="n"/>
      <c r="K66" s="31" t="n"/>
      <c r="L66" s="32" t="n"/>
    </row>
  </sheetData>
  <mergeCells count="23">
    <mergeCell ref="L7:M7"/>
    <mergeCell ref="I6:J6"/>
    <mergeCell ref="B8:D8"/>
    <mergeCell ref="L3:M3"/>
    <mergeCell ref="I7:J7"/>
    <mergeCell ref="B9:D9"/>
    <mergeCell ref="I1:N1"/>
    <mergeCell ref="L5:M5"/>
    <mergeCell ref="L8:M8"/>
    <mergeCell ref="B6:D6"/>
    <mergeCell ref="I3:J3"/>
    <mergeCell ref="A1:D1"/>
    <mergeCell ref="B5:D5"/>
    <mergeCell ref="L4:M4"/>
    <mergeCell ref="B4:D4"/>
    <mergeCell ref="I5:J5"/>
    <mergeCell ref="I8:J8"/>
    <mergeCell ref="B7:D7"/>
    <mergeCell ref="B3:D3"/>
    <mergeCell ref="I4:J4"/>
    <mergeCell ref="L6:M6"/>
    <mergeCell ref="I2:N2"/>
    <mergeCell ref="B2:D2"/>
  </mergeCells>
  <dataValidations count="1">
    <dataValidation sqref="IQ4:IQ9 SM4:SM9 ACI4:ACI9 AME4:AME9 AWA4:AWA9 BFW4:BFW9 BPS4:BPS9 BZO4:BZO9 CJK4:CJK9 CTG4:CTG9 DDC4:DDC9 DMY4:DMY9 DWU4:DWU9 EGQ4:EGQ9 EQM4:EQM9 FAI4:FAI9 FKE4:FKE9 FUA4:FUA9 GDW4:GDW9 GNS4:GNS9 GXO4:GXO9 HHK4:HHK9 HRG4:HRG9 IBC4:IBC9 IKY4:IKY9 IUU4:IUU9 JEQ4:JEQ9 JOM4:JOM9 JYI4:JYI9 KIE4:KIE9 KSA4:KSA9 LBW4:LBW9 LLS4:LLS9 LVO4:LVO9 MFK4:MFK9 MPG4:MPG9 MZC4:MZC9 NIY4:NIY9 NSU4:NSU9 OCQ4:OCQ9 OMM4:OMM9 OWI4:OWI9 PGE4:PGE9 PQA4:PQA9 PZW4:PZW9 QJS4:QJS9 QTO4:QTO9 RDK4:RDK9 RNG4:RNG9 RXC4:RXC9 SGY4:SGY9 SQU4:SQU9 TAQ4:TAQ9 TKM4:TKM9 TUI4:TUI9 UEE4:UEE9 UOA4:UOA9 UXW4:UXW9" showDropDown="0" showInputMessage="1" showErrorMessage="1" allowBlank="1" promptTitle="Revision"/>
  </dataValidations>
  <hyperlinks>
    <hyperlink xmlns:r="http://schemas.openxmlformats.org/officeDocument/2006/relationships" ref="B8" tooltip="https://scm-t-qa.mxbc.net/upm-web/security/public/workbench.html" display="https://scm-t-qa.mxbc.net/upm-web/security/public/workbench.html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21" sqref="B21"/>
    </sheetView>
  </sheetViews>
  <sheetFormatPr baseColWidth="8" defaultColWidth="8.351851851851849" defaultRowHeight="13.8" outlineLevelRow="5" outlineLevelCol="0"/>
  <cols>
    <col width="12.787037037037" customWidth="1" style="1" min="1" max="1"/>
    <col width="169.5" customWidth="1" style="1" min="2" max="2"/>
    <col width="8.351851851851849" customWidth="1" style="1" min="3" max="16384"/>
  </cols>
  <sheetData>
    <row r="1" ht="15.6" customHeight="1" s="1">
      <c r="A1" s="2" t="inlineStr">
        <is>
          <t>名称</t>
        </is>
      </c>
      <c r="B1" s="2" t="inlineStr">
        <is>
          <t>描述</t>
        </is>
      </c>
    </row>
    <row r="2" ht="15.6" customHeight="1" s="1">
      <c r="A2" s="3" t="inlineStr">
        <is>
          <t>用例标题</t>
        </is>
      </c>
      <c r="B2" s="4" t="inlineStr">
        <is>
          <t>要求熟练的测试人员看见名称就大概明白测试用例所测试的点，大概怎么测试，不要求描述过分详细，尽量简短、精练</t>
        </is>
      </c>
    </row>
    <row r="3" ht="15.6" customHeight="1" s="1">
      <c r="A3" s="3" t="inlineStr">
        <is>
          <t>描述</t>
        </is>
      </c>
      <c r="B3" s="4" t="inlineStr">
        <is>
          <t>测试点的详细描述，相当于测试用例名称的详细版</t>
        </is>
      </c>
    </row>
    <row r="4" ht="15.6" customHeight="1" s="1">
      <c r="A4" s="3" t="inlineStr">
        <is>
          <t>前置条件</t>
        </is>
      </c>
      <c r="B4" s="4" t="inlineStr">
        <is>
          <t>如果有多个步骤，每一个步骤都需要填上序号，每一行一个步骤， 不能写得过于简略，至少要让熟悉过系统的测试人员可以执行，也建议不要写得太复杂。</t>
        </is>
      </c>
    </row>
    <row r="5" ht="15.6" customHeight="1" s="1">
      <c r="A5" s="3" t="inlineStr">
        <is>
          <t>操作步骤</t>
        </is>
      </c>
      <c r="B5" s="5" t="inlineStr">
        <is>
          <t>就是在执行操作步骤前，系统需要达到的状态</t>
        </is>
      </c>
    </row>
    <row r="6" ht="15.6" customHeight="1" s="1">
      <c r="A6" s="3" t="inlineStr">
        <is>
          <t>预期结果</t>
        </is>
      </c>
      <c r="B6" s="4" t="inlineStr">
        <is>
          <t>如果有多个检查点，需要都罗列出来，每一行一个标号， 让人一目了然有几个结果检查点， 另外检查点尽量写详细些，不要出现结果正常、不正常等字眼，应该描述 出正常的具体情况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8613619219633</dc:creator>
  <dcterms:created xsi:type="dcterms:W3CDTF">2024-01-18T12:50:00Z</dcterms:created>
  <dcterms:modified xsi:type="dcterms:W3CDTF">2026-07-31T01:32:52Z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243BA6C1A01F42C7A35B5EFA2D8715DF_13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